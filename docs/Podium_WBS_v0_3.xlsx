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onzimi/Desktop/GitHub/Podium/docs/"/>
    </mc:Choice>
  </mc:AlternateContent>
  <xr:revisionPtr revIDLastSave="0" documentId="13_ncr:1_{8974EC28-108B-E047-80A6-C203A03B371F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WBS v3.0" sheetId="8" r:id="rId1"/>
    <sheet name="WBS" sheetId="1" r:id="rId2"/>
    <sheet name="범례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8" l="1"/>
  <c r="F103" i="8"/>
  <c r="E115" i="8"/>
  <c r="E99" i="8"/>
  <c r="G77" i="8"/>
  <c r="E55" i="8"/>
  <c r="F127" i="8"/>
  <c r="CE8" i="8"/>
  <c r="FW8" i="8"/>
  <c r="AW6" i="8"/>
  <c r="DH6" i="8"/>
  <c r="FV6" i="8"/>
  <c r="L7" i="8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AV7" i="8" s="1"/>
  <c r="AW7" i="8" s="1"/>
  <c r="AX7" i="8" s="1"/>
  <c r="AY7" i="8" s="1"/>
  <c r="AZ7" i="8" s="1"/>
  <c r="BA7" i="8" s="1"/>
  <c r="BB7" i="8" s="1"/>
  <c r="BC7" i="8" s="1"/>
  <c r="BD7" i="8" s="1"/>
  <c r="BE7" i="8" s="1"/>
  <c r="BF7" i="8" s="1"/>
  <c r="BG7" i="8" s="1"/>
  <c r="BH7" i="8" s="1"/>
  <c r="BI7" i="8" s="1"/>
  <c r="BJ7" i="8" s="1"/>
  <c r="BK7" i="8" s="1"/>
  <c r="BL7" i="8" s="1"/>
  <c r="BM7" i="8" s="1"/>
  <c r="BN7" i="8" s="1"/>
  <c r="BO7" i="8" s="1"/>
  <c r="BP7" i="8" s="1"/>
  <c r="BQ7" i="8" s="1"/>
  <c r="BR7" i="8" s="1"/>
  <c r="BS7" i="8" s="1"/>
  <c r="BT7" i="8" s="1"/>
  <c r="BU7" i="8" s="1"/>
  <c r="BV7" i="8" s="1"/>
  <c r="BW7" i="8" s="1"/>
  <c r="BX7" i="8" s="1"/>
  <c r="BY7" i="8" s="1"/>
  <c r="BZ7" i="8" s="1"/>
  <c r="CA7" i="8" s="1"/>
  <c r="CB7" i="8" s="1"/>
  <c r="CC7" i="8" s="1"/>
  <c r="CD7" i="8" s="1"/>
  <c r="CE7" i="8" s="1"/>
  <c r="CF7" i="8" s="1"/>
  <c r="CG7" i="8" s="1"/>
  <c r="CH7" i="8" s="1"/>
  <c r="CI7" i="8" s="1"/>
  <c r="CJ7" i="8" s="1"/>
  <c r="CK7" i="8" s="1"/>
  <c r="CL7" i="8" s="1"/>
  <c r="CM7" i="8" s="1"/>
  <c r="CN7" i="8" s="1"/>
  <c r="CO7" i="8" s="1"/>
  <c r="CP7" i="8" s="1"/>
  <c r="CQ7" i="8" s="1"/>
  <c r="CR7" i="8" s="1"/>
  <c r="CS7" i="8" s="1"/>
  <c r="CT7" i="8" s="1"/>
  <c r="CU7" i="8" s="1"/>
  <c r="CV7" i="8" s="1"/>
  <c r="CW7" i="8" s="1"/>
  <c r="CX7" i="8" s="1"/>
  <c r="CY7" i="8" s="1"/>
  <c r="CZ7" i="8" s="1"/>
  <c r="DA7" i="8" s="1"/>
  <c r="DB7" i="8" s="1"/>
  <c r="DC7" i="8" s="1"/>
  <c r="DD7" i="8" s="1"/>
  <c r="DE7" i="8" s="1"/>
  <c r="DF7" i="8" s="1"/>
  <c r="DG7" i="8" s="1"/>
  <c r="DH7" i="8" s="1"/>
  <c r="DI7" i="8" s="1"/>
  <c r="DJ7" i="8" s="1"/>
  <c r="DK7" i="8" s="1"/>
  <c r="DL7" i="8" s="1"/>
  <c r="DM7" i="8" s="1"/>
  <c r="DN7" i="8" s="1"/>
  <c r="DO7" i="8" s="1"/>
  <c r="DP7" i="8" s="1"/>
  <c r="DQ7" i="8" s="1"/>
  <c r="DR7" i="8" s="1"/>
  <c r="DS7" i="8" s="1"/>
  <c r="DT7" i="8" s="1"/>
  <c r="DU7" i="8" s="1"/>
  <c r="DV7" i="8" s="1"/>
  <c r="DW7" i="8" s="1"/>
  <c r="DX7" i="8" s="1"/>
  <c r="DY7" i="8" s="1"/>
  <c r="DZ7" i="8" s="1"/>
  <c r="EA7" i="8" s="1"/>
  <c r="EB7" i="8" s="1"/>
  <c r="EC7" i="8" s="1"/>
  <c r="ED7" i="8" s="1"/>
  <c r="EE7" i="8" s="1"/>
  <c r="EF7" i="8" s="1"/>
  <c r="EG7" i="8" s="1"/>
  <c r="EH7" i="8" s="1"/>
  <c r="EI7" i="8" s="1"/>
  <c r="EJ7" i="8" s="1"/>
  <c r="EK7" i="8" s="1"/>
  <c r="EL7" i="8" s="1"/>
  <c r="EM7" i="8" s="1"/>
  <c r="EN7" i="8" s="1"/>
  <c r="EO7" i="8" s="1"/>
  <c r="EP7" i="8" s="1"/>
  <c r="EQ7" i="8" s="1"/>
  <c r="ER7" i="8" s="1"/>
  <c r="ES7" i="8" s="1"/>
  <c r="ET7" i="8" s="1"/>
  <c r="EU7" i="8" s="1"/>
  <c r="EV7" i="8" s="1"/>
  <c r="EW7" i="8" s="1"/>
  <c r="EX7" i="8" s="1"/>
  <c r="EY7" i="8" s="1"/>
  <c r="EZ7" i="8" s="1"/>
  <c r="FA7" i="8" s="1"/>
  <c r="FB7" i="8" s="1"/>
  <c r="FC7" i="8" s="1"/>
  <c r="FD7" i="8" s="1"/>
  <c r="FE7" i="8" s="1"/>
  <c r="FF7" i="8" s="1"/>
  <c r="FG7" i="8" s="1"/>
  <c r="FH7" i="8" s="1"/>
  <c r="FI7" i="8" s="1"/>
  <c r="FJ7" i="8" s="1"/>
  <c r="FK7" i="8" s="1"/>
  <c r="FL7" i="8" s="1"/>
  <c r="FM7" i="8" s="1"/>
  <c r="FN7" i="8" s="1"/>
  <c r="FO7" i="8" s="1"/>
  <c r="FP7" i="8" s="1"/>
  <c r="FQ7" i="8" s="1"/>
  <c r="FR7" i="8" s="1"/>
  <c r="FS7" i="8" s="1"/>
  <c r="FT7" i="8" s="1"/>
  <c r="FU7" i="8" s="1"/>
  <c r="FV7" i="8" s="1"/>
  <c r="FW7" i="8" s="1"/>
  <c r="FX7" i="8" s="1"/>
  <c r="FY7" i="8" s="1"/>
  <c r="FZ7" i="8" s="1"/>
  <c r="GA7" i="8" s="1"/>
  <c r="GB7" i="8" s="1"/>
  <c r="GC7" i="8" s="1"/>
  <c r="GD7" i="8" s="1"/>
  <c r="GE7" i="8" s="1"/>
  <c r="GF7" i="8" s="1"/>
  <c r="GG7" i="8" s="1"/>
  <c r="GH7" i="8" s="1"/>
  <c r="GI7" i="8" s="1"/>
  <c r="GJ7" i="8" s="1"/>
  <c r="GK7" i="8" s="1"/>
  <c r="GL7" i="8" s="1"/>
  <c r="GM7" i="8" s="1"/>
  <c r="GN7" i="8" s="1"/>
  <c r="GO7" i="8" s="1"/>
  <c r="GP7" i="8" s="1"/>
  <c r="GQ7" i="8" s="1"/>
  <c r="GR7" i="8" s="1"/>
  <c r="GS7" i="8" s="1"/>
  <c r="GT7" i="8" s="1"/>
  <c r="GU7" i="8" s="1"/>
  <c r="GV7" i="8" s="1"/>
  <c r="GW7" i="8" s="1"/>
  <c r="GX7" i="8" s="1"/>
  <c r="GY7" i="8" s="1"/>
  <c r="GZ7" i="8" s="1"/>
  <c r="HA7" i="8" s="1"/>
  <c r="HB7" i="8" s="1"/>
  <c r="HC7" i="8" s="1"/>
  <c r="HD7" i="8" s="1"/>
  <c r="HE7" i="8" s="1"/>
  <c r="HF7" i="8" s="1"/>
  <c r="HG7" i="8" s="1"/>
  <c r="HH7" i="8" s="1"/>
  <c r="HI7" i="8" s="1"/>
  <c r="HJ7" i="8" s="1"/>
  <c r="HK7" i="8" s="1"/>
  <c r="HL7" i="8" s="1"/>
  <c r="HM7" i="8" s="1"/>
  <c r="HM6" i="8" s="1"/>
  <c r="F144" i="8"/>
  <c r="E144" i="8"/>
  <c r="F145" i="8"/>
  <c r="E145" i="8"/>
  <c r="E127" i="8"/>
  <c r="F123" i="8"/>
  <c r="E123" i="8"/>
  <c r="F119" i="8"/>
  <c r="E119" i="8"/>
  <c r="F115" i="8"/>
  <c r="F112" i="8"/>
  <c r="E112" i="8"/>
  <c r="F107" i="8"/>
  <c r="E107" i="8"/>
  <c r="F99" i="8"/>
  <c r="F94" i="8"/>
  <c r="E94" i="8"/>
  <c r="F90" i="8"/>
  <c r="E90" i="8"/>
  <c r="F85" i="8"/>
  <c r="E85" i="8"/>
  <c r="F78" i="8"/>
  <c r="E78" i="8"/>
  <c r="F74" i="8"/>
  <c r="E74" i="8"/>
  <c r="F70" i="8"/>
  <c r="E70" i="8"/>
  <c r="F64" i="8"/>
  <c r="E64" i="8"/>
  <c r="F59" i="8"/>
  <c r="E59" i="8"/>
  <c r="F55" i="8"/>
  <c r="F50" i="8"/>
  <c r="E50" i="8"/>
  <c r="E45" i="8" s="1"/>
  <c r="F46" i="8"/>
  <c r="E46" i="8"/>
  <c r="F45" i="8"/>
  <c r="F43" i="8"/>
  <c r="E43" i="8"/>
  <c r="F41" i="8"/>
  <c r="E41" i="8"/>
  <c r="F38" i="8"/>
  <c r="E38" i="8"/>
  <c r="F35" i="8"/>
  <c r="E35" i="8"/>
  <c r="F32" i="8"/>
  <c r="E32" i="8"/>
  <c r="F29" i="8"/>
  <c r="E29" i="8"/>
  <c r="F27" i="8"/>
  <c r="E27" i="8"/>
  <c r="F25" i="8"/>
  <c r="E25" i="8"/>
  <c r="F23" i="8"/>
  <c r="E23" i="8"/>
  <c r="F21" i="8"/>
  <c r="E21" i="8"/>
  <c r="F19" i="8"/>
  <c r="E19" i="8"/>
  <c r="F17" i="8"/>
  <c r="E17" i="8"/>
  <c r="F15" i="8"/>
  <c r="E15" i="8"/>
  <c r="F13" i="8"/>
  <c r="E13" i="8"/>
  <c r="F11" i="8"/>
  <c r="E11" i="8"/>
  <c r="G146" i="8"/>
  <c r="G147" i="8"/>
  <c r="G148" i="8"/>
  <c r="G150" i="8"/>
  <c r="G151" i="8"/>
  <c r="G152" i="8"/>
  <c r="G12" i="8"/>
  <c r="G11" i="8" s="1"/>
  <c r="H11" i="8" s="1"/>
  <c r="G14" i="8"/>
  <c r="G13" i="8" s="1"/>
  <c r="H13" i="8" s="1"/>
  <c r="G16" i="8"/>
  <c r="G15" i="8" s="1"/>
  <c r="H15" i="8" s="1"/>
  <c r="G18" i="8"/>
  <c r="G17" i="8" s="1"/>
  <c r="H17" i="8" s="1"/>
  <c r="G20" i="8"/>
  <c r="G19" i="8" s="1"/>
  <c r="H19" i="8" s="1"/>
  <c r="G22" i="8"/>
  <c r="G21" i="8" s="1"/>
  <c r="H21" i="8" s="1"/>
  <c r="G24" i="8"/>
  <c r="G23" i="8" s="1"/>
  <c r="H23" i="8" s="1"/>
  <c r="G26" i="8"/>
  <c r="G25" i="8" s="1"/>
  <c r="H25" i="8" s="1"/>
  <c r="G28" i="8"/>
  <c r="G27" i="8" s="1"/>
  <c r="H27" i="8" s="1"/>
  <c r="G30" i="8"/>
  <c r="G29" i="8" s="1"/>
  <c r="H29" i="8" s="1"/>
  <c r="G33" i="8"/>
  <c r="G34" i="8"/>
  <c r="G36" i="8"/>
  <c r="G37" i="8"/>
  <c r="G39" i="8"/>
  <c r="G40" i="8"/>
  <c r="G42" i="8"/>
  <c r="G41" i="8" s="1"/>
  <c r="H41" i="8" s="1"/>
  <c r="G44" i="8"/>
  <c r="G43" i="8" s="1"/>
  <c r="H43" i="8" s="1"/>
  <c r="G47" i="8"/>
  <c r="G48" i="8"/>
  <c r="G49" i="8"/>
  <c r="G51" i="8"/>
  <c r="G52" i="8"/>
  <c r="G53" i="8"/>
  <c r="G56" i="8"/>
  <c r="G57" i="8"/>
  <c r="G58" i="8"/>
  <c r="G60" i="8"/>
  <c r="G61" i="8"/>
  <c r="G62" i="8"/>
  <c r="G63" i="8"/>
  <c r="G68" i="8"/>
  <c r="G71" i="8"/>
  <c r="G72" i="8"/>
  <c r="G73" i="8"/>
  <c r="G75" i="8"/>
  <c r="G76" i="8"/>
  <c r="G79" i="8"/>
  <c r="G80" i="8"/>
  <c r="G81" i="8"/>
  <c r="G82" i="8"/>
  <c r="G83" i="8"/>
  <c r="G88" i="8"/>
  <c r="G91" i="8"/>
  <c r="G92" i="8"/>
  <c r="G93" i="8"/>
  <c r="G95" i="8"/>
  <c r="G96" i="8"/>
  <c r="G97" i="8"/>
  <c r="G100" i="8"/>
  <c r="G101" i="8"/>
  <c r="G102" i="8"/>
  <c r="G104" i="8"/>
  <c r="G105" i="8"/>
  <c r="G106" i="8"/>
  <c r="G109" i="8"/>
  <c r="G110" i="8"/>
  <c r="G113" i="8"/>
  <c r="G114" i="8"/>
  <c r="G117" i="8"/>
  <c r="G118" i="8"/>
  <c r="G121" i="8"/>
  <c r="G132" i="8"/>
  <c r="G133" i="8"/>
  <c r="G134" i="8"/>
  <c r="G136" i="8"/>
  <c r="G135" i="8" s="1"/>
  <c r="H135" i="8" s="1"/>
  <c r="G139" i="8"/>
  <c r="G140" i="8"/>
  <c r="G141" i="8"/>
  <c r="G142" i="8"/>
  <c r="G143" i="8"/>
  <c r="F3" i="8"/>
  <c r="I16" i="8" s="1"/>
  <c r="G89" i="8" l="1"/>
  <c r="G122" i="8"/>
  <c r="I152" i="8"/>
  <c r="I151" i="8"/>
  <c r="I150" i="8"/>
  <c r="I148" i="8"/>
  <c r="I147" i="8"/>
  <c r="I146" i="8"/>
  <c r="I143" i="8"/>
  <c r="I142" i="8"/>
  <c r="I141" i="8"/>
  <c r="I140" i="8"/>
  <c r="I139" i="8"/>
  <c r="I136" i="8"/>
  <c r="I134" i="8"/>
  <c r="I133" i="8"/>
  <c r="I132" i="8"/>
  <c r="I129" i="8"/>
  <c r="I128" i="8"/>
  <c r="I126" i="8"/>
  <c r="I125" i="8"/>
  <c r="I124" i="8"/>
  <c r="I122" i="8"/>
  <c r="I121" i="8"/>
  <c r="I120" i="8"/>
  <c r="I118" i="8"/>
  <c r="I117" i="8"/>
  <c r="I116" i="8"/>
  <c r="I114" i="8"/>
  <c r="I113" i="8"/>
  <c r="I110" i="8"/>
  <c r="I109" i="8"/>
  <c r="I108" i="8"/>
  <c r="I106" i="8"/>
  <c r="I105" i="8"/>
  <c r="I104" i="8"/>
  <c r="I102" i="8"/>
  <c r="I101" i="8"/>
  <c r="I100" i="8"/>
  <c r="I97" i="8"/>
  <c r="I96" i="8"/>
  <c r="I95" i="8"/>
  <c r="I93" i="8"/>
  <c r="I92" i="8"/>
  <c r="I91" i="8"/>
  <c r="I88" i="8"/>
  <c r="I89" i="8"/>
  <c r="I87" i="8"/>
  <c r="I86" i="8"/>
  <c r="I84" i="8"/>
  <c r="I83" i="8"/>
  <c r="I82" i="8"/>
  <c r="I81" i="8"/>
  <c r="I80" i="8"/>
  <c r="I79" i="8"/>
  <c r="I77" i="8"/>
  <c r="I76" i="8"/>
  <c r="I75" i="8"/>
  <c r="I73" i="8"/>
  <c r="I72" i="8"/>
  <c r="I71" i="8"/>
  <c r="I68" i="8"/>
  <c r="I67" i="8"/>
  <c r="I66" i="8"/>
  <c r="I65" i="8"/>
  <c r="I63" i="8"/>
  <c r="I62" i="8"/>
  <c r="I61" i="8"/>
  <c r="I60" i="8"/>
  <c r="I58" i="8"/>
  <c r="I57" i="8"/>
  <c r="I56" i="8"/>
  <c r="I53" i="8"/>
  <c r="I52" i="8"/>
  <c r="I51" i="8"/>
  <c r="I49" i="8"/>
  <c r="I48" i="8"/>
  <c r="I47" i="8"/>
  <c r="I44" i="8"/>
  <c r="I42" i="8"/>
  <c r="I40" i="8"/>
  <c r="I39" i="8"/>
  <c r="I37" i="8"/>
  <c r="I36" i="8"/>
  <c r="I34" i="8"/>
  <c r="I33" i="8"/>
  <c r="I30" i="8"/>
  <c r="I28" i="8"/>
  <c r="I26" i="8"/>
  <c r="I24" i="8"/>
  <c r="I22" i="8"/>
  <c r="I20" i="8"/>
  <c r="I18" i="8"/>
  <c r="I14" i="8"/>
  <c r="I12" i="8"/>
  <c r="F98" i="8"/>
  <c r="G50" i="8"/>
  <c r="H50" i="8" s="1"/>
  <c r="GL6" i="8"/>
  <c r="EA6" i="8"/>
  <c r="BM6" i="8"/>
  <c r="HD8" i="8"/>
  <c r="DL8" i="8"/>
  <c r="GK6" i="8"/>
  <c r="DZ6" i="8"/>
  <c r="BL6" i="8"/>
  <c r="GP8" i="8"/>
  <c r="CX8" i="8"/>
  <c r="FX6" i="8"/>
  <c r="DM6" i="8"/>
  <c r="AY6" i="8"/>
  <c r="GO8" i="8"/>
  <c r="CW8" i="8"/>
  <c r="FW6" i="8"/>
  <c r="DI6" i="8"/>
  <c r="AX6" i="8"/>
  <c r="GA8" i="8"/>
  <c r="CI8" i="8"/>
  <c r="FI6" i="8"/>
  <c r="CU6" i="8"/>
  <c r="AJ6" i="8"/>
  <c r="FI8" i="8"/>
  <c r="BQ8" i="8"/>
  <c r="FE6" i="8"/>
  <c r="CT6" i="8"/>
  <c r="AI6" i="8"/>
  <c r="FH8" i="8"/>
  <c r="BP8" i="8"/>
  <c r="FD6" i="8"/>
  <c r="CS6" i="8"/>
  <c r="AH6" i="8"/>
  <c r="ET8" i="8"/>
  <c r="BB8" i="8"/>
  <c r="HE6" i="8"/>
  <c r="EQ6" i="8"/>
  <c r="CF6" i="8"/>
  <c r="U6" i="8"/>
  <c r="ES8" i="8"/>
  <c r="BA8" i="8"/>
  <c r="HA6" i="8"/>
  <c r="EP6" i="8"/>
  <c r="CE6" i="8"/>
  <c r="Q6" i="8"/>
  <c r="EE8" i="8"/>
  <c r="AM8" i="8"/>
  <c r="GZ6" i="8"/>
  <c r="EO6" i="8"/>
  <c r="CD6" i="8"/>
  <c r="P6" i="8"/>
  <c r="EA8" i="8"/>
  <c r="AI8" i="8"/>
  <c r="GM6" i="8"/>
  <c r="EB6" i="8"/>
  <c r="BQ6" i="8"/>
  <c r="HE8" i="8"/>
  <c r="DM8" i="8"/>
  <c r="U8" i="8"/>
  <c r="HJ6" i="8"/>
  <c r="GU6" i="8"/>
  <c r="GC6" i="8"/>
  <c r="FN6" i="8"/>
  <c r="EY6" i="8"/>
  <c r="EG6" i="8"/>
  <c r="DR6" i="8"/>
  <c r="DC6" i="8"/>
  <c r="CK6" i="8"/>
  <c r="BV6" i="8"/>
  <c r="BG6" i="8"/>
  <c r="AO6" i="8"/>
  <c r="Z6" i="8"/>
  <c r="HM8" i="8"/>
  <c r="GU8" i="8"/>
  <c r="GF8" i="8"/>
  <c r="FQ8" i="8"/>
  <c r="EY8" i="8"/>
  <c r="EJ8" i="8"/>
  <c r="DU8" i="8"/>
  <c r="DC8" i="8"/>
  <c r="CN8" i="8"/>
  <c r="BY8" i="8"/>
  <c r="BG8" i="8"/>
  <c r="AR8" i="8"/>
  <c r="AC8" i="8"/>
  <c r="HI6" i="8"/>
  <c r="GT6" i="8"/>
  <c r="GB6" i="8"/>
  <c r="FM6" i="8"/>
  <c r="EX6" i="8"/>
  <c r="EF6" i="8"/>
  <c r="DQ6" i="8"/>
  <c r="DB6" i="8"/>
  <c r="CJ6" i="8"/>
  <c r="BU6" i="8"/>
  <c r="BF6" i="8"/>
  <c r="AN6" i="8"/>
  <c r="Y6" i="8"/>
  <c r="HL8" i="8"/>
  <c r="GT8" i="8"/>
  <c r="GE8" i="8"/>
  <c r="FP8" i="8"/>
  <c r="EX8" i="8"/>
  <c r="EI8" i="8"/>
  <c r="DT8" i="8"/>
  <c r="DB8" i="8"/>
  <c r="CM8" i="8"/>
  <c r="BX8" i="8"/>
  <c r="BF8" i="8"/>
  <c r="AQ8" i="8"/>
  <c r="AB8" i="8"/>
  <c r="F10" i="8"/>
  <c r="HH6" i="8"/>
  <c r="GS6" i="8"/>
  <c r="GA6" i="8"/>
  <c r="FL6" i="8"/>
  <c r="EW6" i="8"/>
  <c r="EE6" i="8"/>
  <c r="DP6" i="8"/>
  <c r="DA6" i="8"/>
  <c r="CI6" i="8"/>
  <c r="BT6" i="8"/>
  <c r="BE6" i="8"/>
  <c r="AM6" i="8"/>
  <c r="X6" i="8"/>
  <c r="HK8" i="8"/>
  <c r="GS8" i="8"/>
  <c r="GD8" i="8"/>
  <c r="FO8" i="8"/>
  <c r="EW8" i="8"/>
  <c r="EH8" i="8"/>
  <c r="DS8" i="8"/>
  <c r="DA8" i="8"/>
  <c r="CL8" i="8"/>
  <c r="BW8" i="8"/>
  <c r="BE8" i="8"/>
  <c r="AP8" i="8"/>
  <c r="AA8" i="8"/>
  <c r="HG6" i="8"/>
  <c r="GO6" i="8"/>
  <c r="FZ6" i="8"/>
  <c r="FK6" i="8"/>
  <c r="ES6" i="8"/>
  <c r="ED6" i="8"/>
  <c r="DO6" i="8"/>
  <c r="CW6" i="8"/>
  <c r="CH6" i="8"/>
  <c r="BS6" i="8"/>
  <c r="BA6" i="8"/>
  <c r="AL6" i="8"/>
  <c r="W6" i="8"/>
  <c r="HG8" i="8"/>
  <c r="GR8" i="8"/>
  <c r="GC8" i="8"/>
  <c r="FK8" i="8"/>
  <c r="EV8" i="8"/>
  <c r="EG8" i="8"/>
  <c r="DO8" i="8"/>
  <c r="CZ8" i="8"/>
  <c r="CK8" i="8"/>
  <c r="BS8" i="8"/>
  <c r="BD8" i="8"/>
  <c r="AO8" i="8"/>
  <c r="W8" i="8"/>
  <c r="HF6" i="8"/>
  <c r="GN6" i="8"/>
  <c r="FY6" i="8"/>
  <c r="FJ6" i="8"/>
  <c r="ER6" i="8"/>
  <c r="EC6" i="8"/>
  <c r="DN6" i="8"/>
  <c r="CV6" i="8"/>
  <c r="CG6" i="8"/>
  <c r="BR6" i="8"/>
  <c r="AZ6" i="8"/>
  <c r="AK6" i="8"/>
  <c r="V6" i="8"/>
  <c r="HF8" i="8"/>
  <c r="GQ8" i="8"/>
  <c r="GB8" i="8"/>
  <c r="FJ8" i="8"/>
  <c r="EU8" i="8"/>
  <c r="EF8" i="8"/>
  <c r="DN8" i="8"/>
  <c r="CY8" i="8"/>
  <c r="CJ8" i="8"/>
  <c r="BR8" i="8"/>
  <c r="BC8" i="8"/>
  <c r="AN8" i="8"/>
  <c r="V8" i="8"/>
  <c r="T8" i="8"/>
  <c r="G138" i="8"/>
  <c r="H138" i="8" s="1"/>
  <c r="HC8" i="8"/>
  <c r="GN8" i="8"/>
  <c r="FV8" i="8"/>
  <c r="FG8" i="8"/>
  <c r="ER8" i="8"/>
  <c r="DZ8" i="8"/>
  <c r="DK8" i="8"/>
  <c r="CV8" i="8"/>
  <c r="CD8" i="8"/>
  <c r="BO8" i="8"/>
  <c r="AZ8" i="8"/>
  <c r="AH8" i="8"/>
  <c r="S8" i="8"/>
  <c r="G149" i="8"/>
  <c r="H149" i="8" s="1"/>
  <c r="GY6" i="8"/>
  <c r="GJ6" i="8"/>
  <c r="FU6" i="8"/>
  <c r="FC6" i="8"/>
  <c r="EN6" i="8"/>
  <c r="DY6" i="8"/>
  <c r="DG6" i="8"/>
  <c r="CR6" i="8"/>
  <c r="CC6" i="8"/>
  <c r="BK6" i="8"/>
  <c r="AV6" i="8"/>
  <c r="AG6" i="8"/>
  <c r="O6" i="8"/>
  <c r="HB8" i="8"/>
  <c r="GM8" i="8"/>
  <c r="FU8" i="8"/>
  <c r="FF8" i="8"/>
  <c r="EQ8" i="8"/>
  <c r="DY8" i="8"/>
  <c r="DJ8" i="8"/>
  <c r="CU8" i="8"/>
  <c r="CC8" i="8"/>
  <c r="BN8" i="8"/>
  <c r="AY8" i="8"/>
  <c r="AG8" i="8"/>
  <c r="R8" i="8"/>
  <c r="GX6" i="8"/>
  <c r="GI6" i="8"/>
  <c r="FQ6" i="8"/>
  <c r="FB6" i="8"/>
  <c r="EM6" i="8"/>
  <c r="DU6" i="8"/>
  <c r="DF6" i="8"/>
  <c r="CQ6" i="8"/>
  <c r="BY6" i="8"/>
  <c r="BJ6" i="8"/>
  <c r="AU6" i="8"/>
  <c r="AC6" i="8"/>
  <c r="N6" i="8"/>
  <c r="HA8" i="8"/>
  <c r="GI8" i="8"/>
  <c r="FT8" i="8"/>
  <c r="FE8" i="8"/>
  <c r="EM8" i="8"/>
  <c r="DX8" i="8"/>
  <c r="DI8" i="8"/>
  <c r="CQ8" i="8"/>
  <c r="CB8" i="8"/>
  <c r="BM8" i="8"/>
  <c r="AU8" i="8"/>
  <c r="AF8" i="8"/>
  <c r="Q8" i="8"/>
  <c r="HL6" i="8"/>
  <c r="GW6" i="8"/>
  <c r="GH6" i="8"/>
  <c r="FP6" i="8"/>
  <c r="FA6" i="8"/>
  <c r="EL6" i="8"/>
  <c r="DT6" i="8"/>
  <c r="DE6" i="8"/>
  <c r="CP6" i="8"/>
  <c r="BX6" i="8"/>
  <c r="BI6" i="8"/>
  <c r="AT6" i="8"/>
  <c r="AB6" i="8"/>
  <c r="M6" i="8"/>
  <c r="GZ8" i="8"/>
  <c r="GH8" i="8"/>
  <c r="FS8" i="8"/>
  <c r="FD8" i="8"/>
  <c r="EL8" i="8"/>
  <c r="DW8" i="8"/>
  <c r="DH8" i="8"/>
  <c r="CP8" i="8"/>
  <c r="CA8" i="8"/>
  <c r="BL8" i="8"/>
  <c r="AT8" i="8"/>
  <c r="AE8" i="8"/>
  <c r="P8" i="8"/>
  <c r="HK6" i="8"/>
  <c r="GV6" i="8"/>
  <c r="GG6" i="8"/>
  <c r="FO6" i="8"/>
  <c r="EZ6" i="8"/>
  <c r="EK6" i="8"/>
  <c r="DS6" i="8"/>
  <c r="DD6" i="8"/>
  <c r="CO6" i="8"/>
  <c r="BW6" i="8"/>
  <c r="BH6" i="8"/>
  <c r="AS6" i="8"/>
  <c r="AA6" i="8"/>
  <c r="L6" i="8"/>
  <c r="GY8" i="8"/>
  <c r="GG8" i="8"/>
  <c r="FR8" i="8"/>
  <c r="FC8" i="8"/>
  <c r="EK8" i="8"/>
  <c r="DV8" i="8"/>
  <c r="DG8" i="8"/>
  <c r="CO8" i="8"/>
  <c r="BZ8" i="8"/>
  <c r="BK8" i="8"/>
  <c r="AS8" i="8"/>
  <c r="AD8" i="8"/>
  <c r="O8" i="8"/>
  <c r="E98" i="8"/>
  <c r="G130" i="8"/>
  <c r="H130" i="8" s="1"/>
  <c r="G94" i="8"/>
  <c r="H94" i="8" s="1"/>
  <c r="G55" i="8"/>
  <c r="H55" i="8" s="1"/>
  <c r="G59" i="8"/>
  <c r="H59" i="8" s="1"/>
  <c r="E54" i="8"/>
  <c r="E111" i="8"/>
  <c r="E10" i="8"/>
  <c r="F54" i="8"/>
  <c r="F111" i="8"/>
  <c r="G90" i="8"/>
  <c r="H90" i="8" s="1"/>
  <c r="G35" i="8"/>
  <c r="H35" i="8" s="1"/>
  <c r="G70" i="8"/>
  <c r="H70" i="8" s="1"/>
  <c r="E69" i="8"/>
  <c r="G144" i="8"/>
  <c r="H144" i="8" s="1"/>
  <c r="HD6" i="8"/>
  <c r="GR6" i="8"/>
  <c r="GF6" i="8"/>
  <c r="FT6" i="8"/>
  <c r="FH6" i="8"/>
  <c r="EV6" i="8"/>
  <c r="EJ6" i="8"/>
  <c r="DX6" i="8"/>
  <c r="DL6" i="8"/>
  <c r="CZ6" i="8"/>
  <c r="CN6" i="8"/>
  <c r="CB6" i="8"/>
  <c r="BP6" i="8"/>
  <c r="BD6" i="8"/>
  <c r="AR6" i="8"/>
  <c r="AF6" i="8"/>
  <c r="T6" i="8"/>
  <c r="HJ8" i="8"/>
  <c r="GX8" i="8"/>
  <c r="GL8" i="8"/>
  <c r="FZ8" i="8"/>
  <c r="FN8" i="8"/>
  <c r="FB8" i="8"/>
  <c r="EP8" i="8"/>
  <c r="ED8" i="8"/>
  <c r="DR8" i="8"/>
  <c r="DF8" i="8"/>
  <c r="CT8" i="8"/>
  <c r="CH8" i="8"/>
  <c r="BV8" i="8"/>
  <c r="BJ8" i="8"/>
  <c r="AX8" i="8"/>
  <c r="AL8" i="8"/>
  <c r="Z8" i="8"/>
  <c r="N8" i="8"/>
  <c r="E31" i="8"/>
  <c r="HC6" i="8"/>
  <c r="GQ6" i="8"/>
  <c r="GE6" i="8"/>
  <c r="FS6" i="8"/>
  <c r="FG6" i="8"/>
  <c r="EU6" i="8"/>
  <c r="EI6" i="8"/>
  <c r="DW6" i="8"/>
  <c r="DK6" i="8"/>
  <c r="CY6" i="8"/>
  <c r="CM6" i="8"/>
  <c r="CA6" i="8"/>
  <c r="BO6" i="8"/>
  <c r="BC6" i="8"/>
  <c r="AQ6" i="8"/>
  <c r="AE6" i="8"/>
  <c r="S6" i="8"/>
  <c r="HI8" i="8"/>
  <c r="GW8" i="8"/>
  <c r="GK8" i="8"/>
  <c r="FY8" i="8"/>
  <c r="FM8" i="8"/>
  <c r="FA8" i="8"/>
  <c r="EO8" i="8"/>
  <c r="EC8" i="8"/>
  <c r="DQ8" i="8"/>
  <c r="DE8" i="8"/>
  <c r="CS8" i="8"/>
  <c r="CG8" i="8"/>
  <c r="BU8" i="8"/>
  <c r="BI8" i="8"/>
  <c r="AW8" i="8"/>
  <c r="AK8" i="8"/>
  <c r="Y8" i="8"/>
  <c r="M8" i="8"/>
  <c r="F69" i="8"/>
  <c r="F31" i="8"/>
  <c r="HB6" i="8"/>
  <c r="GP6" i="8"/>
  <c r="GD6" i="8"/>
  <c r="FR6" i="8"/>
  <c r="FF6" i="8"/>
  <c r="ET6" i="8"/>
  <c r="EH6" i="8"/>
  <c r="DV6" i="8"/>
  <c r="DJ6" i="8"/>
  <c r="CX6" i="8"/>
  <c r="CL6" i="8"/>
  <c r="BZ6" i="8"/>
  <c r="BN6" i="8"/>
  <c r="BB6" i="8"/>
  <c r="AP6" i="8"/>
  <c r="AD6" i="8"/>
  <c r="R6" i="8"/>
  <c r="HH8" i="8"/>
  <c r="GV8" i="8"/>
  <c r="GJ8" i="8"/>
  <c r="FX8" i="8"/>
  <c r="FL8" i="8"/>
  <c r="EZ8" i="8"/>
  <c r="EN8" i="8"/>
  <c r="EB8" i="8"/>
  <c r="DP8" i="8"/>
  <c r="DD8" i="8"/>
  <c r="CR8" i="8"/>
  <c r="CF8" i="8"/>
  <c r="BT8" i="8"/>
  <c r="BH8" i="8"/>
  <c r="AV8" i="8"/>
  <c r="AJ8" i="8"/>
  <c r="X8" i="8"/>
  <c r="L8" i="8"/>
  <c r="G137" i="8"/>
  <c r="H137" i="8" s="1"/>
  <c r="G45" i="8"/>
  <c r="H45" i="8" s="1"/>
  <c r="G46" i="8"/>
  <c r="H46" i="8" s="1"/>
  <c r="G74" i="8"/>
  <c r="H74" i="8" s="1"/>
  <c r="G131" i="8"/>
  <c r="H131" i="8" s="1"/>
  <c r="G38" i="8"/>
  <c r="H38" i="8" s="1"/>
  <c r="G145" i="8"/>
  <c r="H145" i="8" s="1"/>
  <c r="G103" i="8"/>
  <c r="H103" i="8" s="1"/>
  <c r="G99" i="8"/>
  <c r="H99" i="8" s="1"/>
  <c r="G31" i="8"/>
  <c r="H31" i="8" s="1"/>
  <c r="G120" i="8"/>
  <c r="G119" i="8" s="1"/>
  <c r="H119" i="8" s="1"/>
  <c r="G86" i="8"/>
  <c r="G125" i="8"/>
  <c r="G67" i="8"/>
  <c r="G129" i="8"/>
  <c r="G108" i="8"/>
  <c r="G107" i="8" s="1"/>
  <c r="H107" i="8" s="1"/>
  <c r="G128" i="8"/>
  <c r="G124" i="8"/>
  <c r="G84" i="8"/>
  <c r="G65" i="8"/>
  <c r="G116" i="8"/>
  <c r="G115" i="8" s="1"/>
  <c r="H115" i="8" s="1"/>
  <c r="G112" i="8"/>
  <c r="H112" i="8" s="1"/>
  <c r="G87" i="8"/>
  <c r="G32" i="8"/>
  <c r="H32" i="8" s="1"/>
  <c r="G126" i="8"/>
  <c r="G10" i="8"/>
  <c r="H10" i="8" s="1"/>
  <c r="G66" i="8"/>
  <c r="G109" i="1"/>
  <c r="G108" i="1"/>
  <c r="G107" i="1"/>
  <c r="G106" i="1"/>
  <c r="G104" i="1"/>
  <c r="G103" i="1"/>
  <c r="G102" i="1"/>
  <c r="G127" i="8" l="1"/>
  <c r="H127" i="8" s="1"/>
  <c r="H3" i="8"/>
  <c r="G64" i="8"/>
  <c r="H64" i="8" s="1"/>
  <c r="G111" i="8"/>
  <c r="H111" i="8" s="1"/>
  <c r="G85" i="8"/>
  <c r="H85" i="8" s="1"/>
  <c r="G69" i="8"/>
  <c r="H69" i="8" s="1"/>
  <c r="G98" i="8"/>
  <c r="H98" i="8" s="1"/>
  <c r="G123" i="8"/>
  <c r="H123" i="8" s="1"/>
  <c r="G54" i="8"/>
  <c r="H54" i="8" s="1"/>
  <c r="G78" i="8"/>
  <c r="H78" i="8" s="1"/>
  <c r="G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onzimi</author>
  </authors>
  <commentList>
    <comment ref="M9" authorId="0" shapeId="0" xr:uid="{015630E2-4D06-6449-8D8B-D44A19D56EB8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어린이날 (2026-05-05). Source: 우주항공청 「2026년 월력요항」, https://www.kasa.go.kr/bbs/BBSMSTR_000000000010/view.do?nttId=B000000001860Pe2zT3</t>
        </r>
      </text>
    </comment>
    <comment ref="AF9" authorId="0" shapeId="0" xr:uid="{048F17CF-55CA-2549-B169-A62ABE30B721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부처님오신날 (2026-05-24). Source: 우주항공청 「2026년 월력요항」, https://www.kasa.go.kr/bbs/BBSMSTR_000000000010/view.do?nttId=B000000001860Pe2zT3</t>
        </r>
      </text>
    </comment>
    <comment ref="AG9" authorId="0" shapeId="0" xr:uid="{187EE0EC-544E-BB44-A785-47D192DDFCA9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부처님오신날 대체공휴일 (2026-05-25). Source: 우주항공청 「2026년 월력요항」, https://www.kasa.go.kr/bbs/BBSMSTR_000000000010/view.do?nttId=B000000001860Pe2zT3</t>
        </r>
      </text>
    </comment>
    <comment ref="AS9" authorId="0" shapeId="0" xr:uid="{546157DB-76BB-4F4B-8753-2D1ED5849AA7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현충일 (2026-06-06). Source: 우주항공청 「2026년 월력요항」, https://www.kasa.go.kr/bbs/BBSMSTR_000000000010/view.do?nttId=B000000001860Pe2zT3</t>
        </r>
      </text>
    </comment>
    <comment ref="DK9" authorId="0" shapeId="0" xr:uid="{BFFC6851-5540-3D44-9E41-844C0B0856F7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광복절 (2026-08-15). Source: 우주항공청 「2026년 월력요항」, https://www.kasa.go.kr/bbs/BBSMSTR_000000000010/view.do?nttId=B000000001860Pe2zT3</t>
        </r>
      </text>
    </comment>
    <comment ref="DM9" authorId="0" shapeId="0" xr:uid="{7BA3AF4E-AF96-5E46-A719-3AB95A686903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광복절 대체공휴일 (2026-08-17). Source: 우주항공청 「2026년 월력요항」, https://www.kasa.go.kr/bbs/BBSMSTR_000000000010/view.do?nttId=B000000001860Pe2zT3</t>
        </r>
      </text>
    </comment>
    <comment ref="EY9" authorId="0" shapeId="0" xr:uid="{0D3D7089-A6B2-9A49-BA42-1A593B9E05AB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추석 연휴 (2026-09-24). Source: 우주항공청 「2026년 월력요항」, https://www.kasa.go.kr/bbs/BBSMSTR_000000000010/view.do?nttId=B000000001860Pe2zT3</t>
        </r>
      </text>
    </comment>
    <comment ref="EZ9" authorId="0" shapeId="0" xr:uid="{CD60DEE9-50F1-0446-BE88-099C6EC658A1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추석 (2026-09-25). Source: 우주항공청 「2026년 월력요항」, https://www.kasa.go.kr/bbs/BBSMSTR_000000000010/view.do?nttId=B000000001860Pe2zT3</t>
        </r>
      </text>
    </comment>
    <comment ref="FA9" authorId="0" shapeId="0" xr:uid="{E941B0A8-09C3-5E4C-BBFE-19562CC6ACBC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추석 연휴 (2026-09-26). Source: 우주항공청 「2026년 월력요항」, https://www.kasa.go.kr/bbs/BBSMSTR_000000000010/view.do?nttId=B000000001860Pe2zT3</t>
        </r>
      </text>
    </comment>
    <comment ref="FH9" authorId="0" shapeId="0" xr:uid="{31D5F7F4-A3ED-EC40-AD65-349BA07E7CB4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개천절 (2026-10-03). Source: 우주항공청 「2026년 월력요항」, https://www.kasa.go.kr/bbs/BBSMSTR_000000000010/view.do?nttId=B000000001860Pe2zT3</t>
        </r>
      </text>
    </comment>
    <comment ref="FJ9" authorId="0" shapeId="0" xr:uid="{AB887ED1-B097-544A-8E47-0A5FC0EF30DB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개천절 대체공휴일 (2026-10-05). Source: 우주항공청 「2026년 월력요항」, https://www.kasa.go.kr/bbs/BBSMSTR_000000000010/view.do?nttId=B000000001860Pe2zT3</t>
        </r>
      </text>
    </comment>
    <comment ref="FN9" authorId="0" shapeId="0" xr:uid="{7F7B4F60-E05F-0741-A8D9-0C4AFED3F61F}">
      <text>
        <r>
          <rPr>
            <b/>
            <sz val="10"/>
            <color rgb="FF000000"/>
            <rFont val="Malgun Gothic"/>
            <family val="2"/>
            <charset val="129"/>
          </rPr>
          <t>onzimi:</t>
        </r>
        <r>
          <rPr>
            <sz val="10"/>
            <color rgb="FF000000"/>
            <rFont val="Malgun Gothic"/>
            <family val="2"/>
            <charset val="129"/>
          </rPr>
          <t xml:space="preserve">
한글날 (2026-10-09). Source: 우주항공청 「2026년 월력요항」, https://www.kasa.go.kr/bbs/BBSMSTR_000000000010/view.do?nttId=B000000001860Pe2zT3</t>
        </r>
      </text>
    </comment>
  </commentList>
</comments>
</file>

<file path=xl/sharedStrings.xml><?xml version="1.0" encoding="utf-8"?>
<sst xmlns="http://schemas.openxmlformats.org/spreadsheetml/2006/main" count="1398" uniqueCount="577">
  <si>
    <t>WBS</t>
  </si>
  <si>
    <t>1주차</t>
  </si>
  <si>
    <t>2주차</t>
  </si>
  <si>
    <t>3주차</t>
  </si>
  <si>
    <t>4주차</t>
  </si>
  <si>
    <t>6주차</t>
  </si>
  <si>
    <t>7주차</t>
  </si>
  <si>
    <t>8주차</t>
  </si>
  <si>
    <t>7월 1주차</t>
  </si>
  <si>
    <t>7월 2주차</t>
  </si>
  <si>
    <t>7월 3주차</t>
  </si>
  <si>
    <t>7월 4주차</t>
  </si>
  <si>
    <t>7월 5주차</t>
  </si>
  <si>
    <t>8월 1주차</t>
  </si>
  <si>
    <t>8월 2주차</t>
  </si>
  <si>
    <t>8월 3주차</t>
  </si>
  <si>
    <t>8월 4주차</t>
  </si>
  <si>
    <t>9월 1주차</t>
  </si>
  <si>
    <t>9월 2주차</t>
  </si>
  <si>
    <t>9월 3주차</t>
  </si>
  <si>
    <t>9월 4주차</t>
  </si>
  <si>
    <t>10월 1주차</t>
  </si>
  <si>
    <t>10월 2주차</t>
  </si>
  <si>
    <t>10월 3주차</t>
  </si>
  <si>
    <t>10월 4주차</t>
  </si>
  <si>
    <t>10월 5주차</t>
  </si>
  <si>
    <t>11월 1주차</t>
  </si>
  <si>
    <t>11월 2주차</t>
  </si>
  <si>
    <t>11월 3주차</t>
  </si>
  <si>
    <t>11월 4주차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</si>
  <si>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</si>
  <si>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</si>
  <si>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</si>
  <si>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</si>
  <si>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</si>
  <si>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</si>
  <si>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</si>
  <si>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</si>
  <si>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</si>
  <si>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</si>
  <si>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</si>
  <si>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</si>
  <si>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</si>
  <si>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</si>
  <si>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</si>
  <si>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</si>
  <si>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</si>
  <si>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</si>
  <si>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</si>
  <si>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</si>
  <si>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</si>
  <si>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</si>
  <si>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</si>
  <si>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</si>
  <si>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</si>
  <si>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</si>
  <si>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</si>
  <si>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</si>
  <si>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</si>
  <si>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</si>
  <si>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</si>
  <si>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구분</t>
  </si>
  <si>
    <t>역할분류</t>
  </si>
  <si>
    <t>작업</t>
  </si>
  <si>
    <t>기능상세</t>
  </si>
  <si>
    <t>담당자</t>
  </si>
  <si>
    <t>완료여부</t>
  </si>
  <si>
    <t>월</t>
  </si>
  <si>
    <t>화</t>
  </si>
  <si>
    <t>수</t>
  </si>
  <si>
    <t>목</t>
  </si>
  <si>
    <t>금</t>
  </si>
  <si>
    <t>토</t>
  </si>
  <si>
    <t>일</t>
  </si>
  <si>
    <t>기획 및 설계</t>
  </si>
  <si>
    <t>공통</t>
  </si>
  <si>
    <t>프로젝트 아이디어 수립</t>
  </si>
  <si>
    <t>Podium - AI 발표 분석 시스템</t>
  </si>
  <si>
    <t>완료</t>
  </si>
  <si>
    <t>기술 스택 선정</t>
  </si>
  <si>
    <t>시스템 아키텍처 설계</t>
  </si>
  <si>
    <t>Client - FastAPI - Pipeline - AI/DB 레이어 구조</t>
  </si>
  <si>
    <t>파이프라인 설계</t>
  </si>
  <si>
    <t>JSON 스키마 정의</t>
  </si>
  <si>
    <t>세션-구간-피드백 데이터 구조</t>
  </si>
  <si>
    <t>사용자 시나리오 작성</t>
  </si>
  <si>
    <t>UI/UX 디자인</t>
  </si>
  <si>
    <t>메인 화면 10개 + 메뉴바 구조</t>
  </si>
  <si>
    <t>BE</t>
  </si>
  <si>
    <t>DB 모델 설계</t>
  </si>
  <si>
    <t>유즈케이스 작성</t>
  </si>
  <si>
    <t>UC-001 ~ UC-010 (사용자 중심 흐름)</t>
  </si>
  <si>
    <t>WBS 작성</t>
  </si>
  <si>
    <t>개발 (BE - 인프라)</t>
  </si>
  <si>
    <t>프로젝트 구조 세팅</t>
  </si>
  <si>
    <t>FastAPI 폴더 구조 + .gitignore + .env</t>
  </si>
  <si>
    <t>가상환경 + requirements.txt</t>
  </si>
  <si>
    <t>DB 연결 설정</t>
  </si>
  <si>
    <t>PostgreSQL Docker 실행</t>
  </si>
  <si>
    <t>SQLAlchemy 세션 + connection pool</t>
  </si>
  <si>
    <t>DB 모델 구현</t>
  </si>
  <si>
    <t>Alembic 마이그레이션 설정</t>
  </si>
  <si>
    <t>환경 변수 관리</t>
  </si>
  <si>
    <t>.env / config.py 모듈화</t>
  </si>
  <si>
    <t>파일 저장 모듈</t>
  </si>
  <si>
    <t>로컬 → S3/R2 추상화 레이어</t>
  </si>
  <si>
    <t>작업대기</t>
  </si>
  <si>
    <t>개발 (BE - 인증)</t>
  </si>
  <si>
    <t>회원가입</t>
  </si>
  <si>
    <t>회원가입 API (이메일/비밀번호)</t>
  </si>
  <si>
    <t>비밀번호 해싱 (bcrypt)</t>
  </si>
  <si>
    <t>이메일 중복 체크 API</t>
  </si>
  <si>
    <t>로그인</t>
  </si>
  <si>
    <t>로그인 API (JWT 토큰 발급)</t>
  </si>
  <si>
    <t>JWT 인증 미들웨어</t>
  </si>
  <si>
    <t>토큰 갱신 / 로그아웃 처리</t>
  </si>
  <si>
    <t>개발 (BE - 핵심 API)</t>
  </si>
  <si>
    <t>프로젝트 관리</t>
  </si>
  <si>
    <t>프로젝트 생성 API</t>
  </si>
  <si>
    <t>세션 관리</t>
  </si>
  <si>
    <t>세션 생성 API</t>
  </si>
  <si>
    <t>세션 조회 / 목록 API</t>
  </si>
  <si>
    <t>세션 삭제 API (청크/영상 동시 삭제)</t>
  </si>
  <si>
    <t>세션 상태 조회 API (분석 진행률)</t>
  </si>
  <si>
    <t>영상 업로드</t>
  </si>
  <si>
    <t>전체 영상 업로드 API</t>
  </si>
  <si>
    <t>PDF 업로드 API</t>
  </si>
  <si>
    <t>개발 (AI 파이프라인)</t>
  </si>
  <si>
    <t>STEP 1. 전처리</t>
  </si>
  <si>
    <t>STEP 2. 영상 분석</t>
  </si>
  <si>
    <t>청크 → VLM 전송 로직</t>
  </si>
  <si>
    <t>STEP 3. 음성 분석</t>
  </si>
  <si>
    <t>STEP 4. 구간 분리</t>
  </si>
  <si>
    <t>LLM 구간 분리 프롬프트 설계</t>
  </si>
  <si>
    <t>Gemini 호출 + 응답 파싱</t>
  </si>
  <si>
    <t>PDF 슬라이드 매핑 (선택 기능)</t>
  </si>
  <si>
    <t>청크 → 구간 매핑 로직</t>
  </si>
  <si>
    <t>STEP 5. 종합 피드백</t>
  </si>
  <si>
    <t>멀티모달 통합 프롬프트 설계</t>
  </si>
  <si>
    <t>LLM 호출 + 피드백 생성</t>
  </si>
  <si>
    <t>세션 요약 / 하이라이트 집계</t>
  </si>
  <si>
    <t>파이프라인 통합</t>
  </si>
  <si>
    <t>비동기 작업 처리 (BackgroundTasks)</t>
  </si>
  <si>
    <t>에러 처리 / 재시도 로직</t>
  </si>
  <si>
    <t>API 비용 모니터링</t>
  </si>
  <si>
    <t>개발 (FE - 인프라)</t>
  </si>
  <si>
    <t>FE</t>
  </si>
  <si>
    <t>프로젝트 세팅</t>
  </si>
  <si>
    <t>Next.js 14 + TypeScript</t>
  </si>
  <si>
    <t>Tailwind CSS / 디자인 시스템 세팅</t>
  </si>
  <si>
    <t>라우팅 구조 잡기</t>
  </si>
  <si>
    <t>공통 컴포넌트</t>
  </si>
  <si>
    <t>메뉴바 (Navbar)</t>
  </si>
  <si>
    <t>카드 / 버튼 / 모달 / 입력 컴포넌트</t>
  </si>
  <si>
    <t>로딩 / 에러 / 404 페이지</t>
  </si>
  <si>
    <t>API 연동 모듈</t>
  </si>
  <si>
    <t>fetch 래퍼 + 토큰 관리</t>
  </si>
  <si>
    <t>인증 컨텍스트 (로그인 상태)</t>
  </si>
  <si>
    <t>개발 (FE - 페이지)</t>
  </si>
  <si>
    <t>인증 페이지</t>
  </si>
  <si>
    <t>로그인 페이지</t>
  </si>
  <si>
    <t>회원가입 페이지</t>
  </si>
  <si>
    <t>메인 페이지</t>
  </si>
  <si>
    <t>홈 (최근 활동 + 누적 통계)</t>
  </si>
  <si>
    <t>내 기록 (프로젝트 폴더 목록)</t>
  </si>
  <si>
    <t>프로젝트 상세 (회차 목록)</t>
  </si>
  <si>
    <t>촬영 흐름</t>
  </si>
  <si>
    <t>촬영 페이지 (MediaRecorder + 청크 전송)</t>
  </si>
  <si>
    <t>업로드 페이지 (PDF + 시나리오)</t>
  </si>
  <si>
    <t>분석 진행 페이지 (프로그레스)</t>
  </si>
  <si>
    <t>결과 확인</t>
  </si>
  <si>
    <t>결과 대시보드 (구간 타임라인 + 차트)</t>
  </si>
  <si>
    <t>구간 상세 (영상 + STT + 피드백)</t>
  </si>
  <si>
    <t>비교 / 추세</t>
  </si>
  <si>
    <t>회차 비교 페이지</t>
  </si>
  <si>
    <t>전체 추세 페이지</t>
  </si>
  <si>
    <t>통합 / 테스트</t>
  </si>
  <si>
    <t>테스트</t>
  </si>
  <si>
    <t>API 통합 테스트 (FE-BE 연동)</t>
  </si>
  <si>
    <t>파이프라인 E2E 테스트</t>
  </si>
  <si>
    <t>예외 케이스 / 에러 처리 검증</t>
  </si>
  <si>
    <t>성능</t>
  </si>
  <si>
    <t>비용 / 응답 시간 최적화</t>
  </si>
  <si>
    <t>배포</t>
  </si>
  <si>
    <t>인프라</t>
  </si>
  <si>
    <t>Docker Compose 작성</t>
  </si>
  <si>
    <t>백엔드 배포 (Railway / EC2)</t>
  </si>
  <si>
    <t>프론트엔드 배포 (Vercel)</t>
  </si>
  <si>
    <t>파일 저장소 연결 (S3 / R2)</t>
  </si>
  <si>
    <t>PostgreSQL 호스팅 연결</t>
  </si>
  <si>
    <t>문서 / 발표</t>
  </si>
  <si>
    <t>발표</t>
  </si>
  <si>
    <t>중간 발표 자료 + 데모</t>
  </si>
  <si>
    <t>최종 발표 자료 준비</t>
  </si>
  <si>
    <t>데모 영상 녹화</t>
  </si>
  <si>
    <t>문서화</t>
  </si>
  <si>
    <t>README 작성 (설치/실행 가이드)</t>
  </si>
  <si>
    <t>API 문서 (Swagger)</t>
  </si>
  <si>
    <t>기술 문서 정리 (아키텍처/파이프라인)</t>
  </si>
  <si>
    <t>WBS 범례</t>
  </si>
  <si>
    <t>막대 색상</t>
  </si>
  <si>
    <t>BE 작업</t>
  </si>
  <si>
    <t>백엔드 / AI 파이프라인 작업</t>
  </si>
  <si>
    <t>FE 작업</t>
  </si>
  <si>
    <t>프론트엔드 페이지 / 컴포넌트 작업</t>
  </si>
  <si>
    <t>공통 작업</t>
  </si>
  <si>
    <t>기획, 문서, 테스트 등</t>
  </si>
  <si>
    <t>완료 여부</t>
  </si>
  <si>
    <t>작업 완료</t>
  </si>
  <si>
    <t>진행중</t>
  </si>
  <si>
    <t>진행 중</t>
  </si>
  <si>
    <t>아직 시작 전</t>
  </si>
  <si>
    <t>변경 내역 (v0.2)</t>
  </si>
  <si>
    <t>AI 파이프라인 순서: 영상 분석 → 음성 분석 → 구간 분리 → 종합 피드백</t>
  </si>
  <si>
    <t>시작일: 2026-05-04 (5월 1주차 월요일)</t>
  </si>
  <si>
    <t>총 30주 일정 (2026-05-04 ~ 2026-11-29)</t>
  </si>
  <si>
    <t>9~11월 구간 캘린더 확장 (일정 막대 미배치)</t>
  </si>
  <si>
    <t>필러 단어 탐지 (어휘 경로)</t>
  </si>
  <si>
    <t>무음 구간 탐지 (VAD)</t>
  </si>
  <si>
    <t>말 속도 (SPM / 조음 속도)</t>
  </si>
  <si>
    <t>말더듬(반복) 탐지</t>
  </si>
  <si>
    <t>타임스탬프 기준 샘플링 / offset 계산</t>
  </si>
  <si>
    <t>VLM 프롬프트 설계 (자세/시선/제스처 7종)</t>
  </si>
  <si>
    <t>VLM 호출 + 결과 구조화 / 영상분석 결과 적재</t>
  </si>
  <si>
    <t>FastAPI / Next.js / PostgreSQL / Gemini / faster-whisper</t>
  </si>
  <si>
    <t>User / Project / Session / Chunk / 영상분석 / Segment / Feedback</t>
  </si>
  <si>
    <t>스마트 청킹 — 모션 기반 동적 구간 분할</t>
    <phoneticPr fontId="7" type="noConversion"/>
  </si>
  <si>
    <t>User / Project / Session / Chunk / Segment (분석 결과 계층 분리)</t>
  </si>
  <si>
    <t>프로젝트 목록 조회 API (세션 포함 조회)</t>
  </si>
  <si>
    <t>프로젝트 수정 / 삭제 API (세션 · 파일 정리 포함)</t>
  </si>
  <si>
    <t>영상 스트리밍 API (정적 서빙 + 구간 재생 지원)</t>
  </si>
  <si>
    <t>Mock 데이터 → 실제 API 연동</t>
  </si>
  <si>
    <t>음성 분석 방식 2트랙 비교 · 채택 (로컬 STT 방식 / Gemini 오디오 방식 → 로컬 STT 채택)</t>
  </si>
  <si>
    <t>구간 → 오디오 추출 (ffmpeg)</t>
  </si>
  <si>
    <t>v0.3</t>
  </si>
  <si>
    <r>
      <rPr>
        <sz val="11"/>
        <color theme="1"/>
        <rFont val="맑은 고딕"/>
        <family val="2"/>
        <scheme val="minor"/>
      </rPr>
      <t>변경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scheme val="minor"/>
      </rPr>
      <t>내역</t>
    </r>
    <r>
      <rPr>
        <sz val="11"/>
        <color theme="1"/>
        <rFont val="맑은 고딕"/>
        <family val="2"/>
        <scheme val="minor"/>
      </rPr>
      <t xml:space="preserve"> (v0.3)</t>
    </r>
  </si>
  <si>
    <t>STEP 3 음성 분석: 2트랙(로컬 STT / Gemini 오디오) 비교 후 로컬 STT 방식 채택</t>
  </si>
  <si>
    <t>STEP 3 하위 항목 보완: 말더듬(반복) 탐지 · 정확도 검증(라벨링 · 임계값 확정)</t>
  </si>
  <si>
    <t>완료여부 3단계(완료 / 진행중 / 작업대기)로 통일</t>
  </si>
  <si>
    <t>STEP 1 스마트 청킹(모션 기반 동적 구간 분할) 및 영상분석 결과 계층 분리 반영</t>
  </si>
  <si>
    <t>FE ‘Mock 데이터 → 실제 API 연동’ 항목 신설</t>
  </si>
  <si>
    <t>일정(날짜) 범위 · 막대 위치는 v0.2 그대로 유지</t>
  </si>
  <si>
    <t>STEP 1~5 (전처리/영상분석/음성분석/구간분리/피드백)</t>
    <phoneticPr fontId="7" type="noConversion"/>
  </si>
  <si>
    <t>진행률</t>
  </si>
  <si>
    <t>전체 진행률</t>
  </si>
  <si>
    <t>인터랙티브 스크립트</t>
    <phoneticPr fontId="7" type="noConversion"/>
  </si>
  <si>
    <t>※ 막대 색은 담당 파트만 의미 (진행 상황은 완료여부 · 진행률 열에서 확인)</t>
  </si>
  <si>
    <t>8~9월 FE 실적 막대 반영 (BE 구간은 미반영)</t>
  </si>
  <si>
    <t>막대 색을 담당 파트(BE / FE / 공통) 전용으로 통일 — '완료된 작업(진한 초록)' 색 폐지</t>
  </si>
  <si>
    <t>진행 현황 (전체 작업 기준)</t>
  </si>
  <si>
    <t>전체 작업 수</t>
  </si>
  <si>
    <t>진행중 가중치 (진행률 산정 기준)</t>
  </si>
  <si>
    <t>BE 진행률</t>
  </si>
  <si>
    <t>FE 진행률</t>
  </si>
  <si>
    <t>공통 진행률</t>
  </si>
  <si>
    <t>진행 현황</t>
  </si>
  <si>
    <t>완료 = 1.0 로 집계</t>
  </si>
  <si>
    <t>작업대기 = 0 으로 집계</t>
  </si>
  <si>
    <t>막대 색상 변경: BE 초록 / FE 파랑 / 공통 회색</t>
  </si>
  <si>
    <t>완료</t>
    <phoneticPr fontId="7" type="noConversion"/>
  </si>
  <si>
    <t>진행중</t>
    <phoneticPr fontId="7" type="noConversion"/>
  </si>
  <si>
    <t>페르소나 2명 (김민호 / 이서연)</t>
    <phoneticPr fontId="7" type="noConversion"/>
  </si>
  <si>
    <t xml:space="preserve">청크 업로드 API </t>
    <phoneticPr fontId="7" type="noConversion"/>
  </si>
  <si>
    <t>음성 분석 검증 (실제 녹음 라벨링 · 탐지 임계값 확정)</t>
    <phoneticPr fontId="7" type="noConversion"/>
  </si>
  <si>
    <t>작업대기</t>
    <phoneticPr fontId="7" type="noConversion"/>
  </si>
  <si>
    <t>진행률은 별도 열 없이 작업표 아래 '진행 현황' 요약 블록(WBS 99~109행)에서 집계</t>
  </si>
  <si>
    <t>진행중 = 0.5 로 집계 (가중치 셀 G100에서 조정)</t>
  </si>
  <si>
    <t>※ 전체 · BE · FE · 공통 진행률은 완료여부 열을 COUNTIF로 집계 (WBS G101:G104)</t>
  </si>
  <si>
    <t xml:space="preserve"> </t>
    <phoneticPr fontId="7" type="noConversion"/>
  </si>
  <si>
    <r>
      <t>(6</t>
    </r>
    <r>
      <rPr>
        <b/>
        <sz val="10"/>
        <color rgb="FFFFFFFF"/>
        <rFont val="Malgun Gothic"/>
        <family val="2"/>
        <charset val="129"/>
      </rPr>
      <t>월</t>
    </r>
    <r>
      <rPr>
        <b/>
        <sz val="10"/>
        <color rgb="FFFFFFFF"/>
        <rFont val="Arial"/>
        <family val="2"/>
      </rPr>
      <t>) 5</t>
    </r>
    <r>
      <rPr>
        <b/>
        <sz val="10"/>
        <color rgb="FFFFFFFF"/>
        <rFont val="Malgun Gothic"/>
        <family val="2"/>
        <charset val="129"/>
      </rPr>
      <t>주차</t>
    </r>
    <phoneticPr fontId="7" type="noConversion"/>
  </si>
  <si>
    <t>상태</t>
  </si>
  <si>
    <t>시작일</t>
  </si>
  <si>
    <t>종료일</t>
  </si>
  <si>
    <t>1.1.1</t>
  </si>
  <si>
    <t>1.2.1</t>
  </si>
  <si>
    <t>1.3.1</t>
  </si>
  <si>
    <t>1.4.1</t>
  </si>
  <si>
    <t>1.5.1</t>
  </si>
  <si>
    <t>1.6.1</t>
  </si>
  <si>
    <t>1.7.1</t>
  </si>
  <si>
    <t>1.8.1</t>
  </si>
  <si>
    <t>1.9.1</t>
  </si>
  <si>
    <t>1.10.1</t>
  </si>
  <si>
    <t>2.1.1</t>
  </si>
  <si>
    <t>2.1.2</t>
  </si>
  <si>
    <t>2.2.1</t>
  </si>
  <si>
    <t>2.2.2</t>
  </si>
  <si>
    <t>2.3.1</t>
  </si>
  <si>
    <t>2.3.2</t>
  </si>
  <si>
    <t>2.4.1</t>
  </si>
  <si>
    <t>2.5.1</t>
  </si>
  <si>
    <t>3.1.1</t>
  </si>
  <si>
    <t>3.1.2</t>
  </si>
  <si>
    <t>3.1.3</t>
  </si>
  <si>
    <t>3.2.1</t>
  </si>
  <si>
    <t>3.2.2</t>
  </si>
  <si>
    <t>3.2.3</t>
  </si>
  <si>
    <t>4.1.1</t>
  </si>
  <si>
    <t>4.1.2</t>
  </si>
  <si>
    <t>4.1.3</t>
  </si>
  <si>
    <t>4.2.1</t>
  </si>
  <si>
    <t>4.2.2</t>
  </si>
  <si>
    <t>4.2.3</t>
  </si>
  <si>
    <t>4.2.4</t>
  </si>
  <si>
    <t>4.3.1</t>
  </si>
  <si>
    <t>4.3.2</t>
  </si>
  <si>
    <t>4.3.3</t>
  </si>
  <si>
    <t>4.3.4</t>
  </si>
  <si>
    <t>5.1.1</t>
  </si>
  <si>
    <t>5.1.2</t>
  </si>
  <si>
    <t>5.1.3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</si>
  <si>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</si>
  <si>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</si>
  <si>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</si>
  <si>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</si>
  <si>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</si>
  <si>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</si>
  <si>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</si>
  <si>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</si>
  <si>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</si>
  <si>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5.4.1</t>
  </si>
  <si>
    <t>5.4.2</t>
  </si>
  <si>
    <t>5.4.3</t>
  </si>
  <si>
    <t>5.4.4</t>
  </si>
  <si>
    <t>5.5.1</t>
  </si>
  <si>
    <t>5.5.2</t>
  </si>
  <si>
    <t>5.5.3</t>
  </si>
  <si>
    <t>5.6.1</t>
  </si>
  <si>
    <t>5.6.2</t>
  </si>
  <si>
    <t>5.6.3</t>
  </si>
  <si>
    <t>6.1.1</t>
  </si>
  <si>
    <t>6.1.2</t>
  </si>
  <si>
    <t>6.1.3</t>
  </si>
  <si>
    <t>6.2.1</t>
  </si>
  <si>
    <t>6.2.2</t>
  </si>
  <si>
    <t>6.2.3</t>
  </si>
  <si>
    <t>6.3.1</t>
  </si>
  <si>
    <t>6.3.2</t>
  </si>
  <si>
    <t>6.3.3</t>
  </si>
  <si>
    <t>7.1.1</t>
  </si>
  <si>
    <t>7.1.2</t>
  </si>
  <si>
    <t>7.2.1</t>
  </si>
  <si>
    <t>7.2.2</t>
  </si>
  <si>
    <t>7.2.3</t>
  </si>
  <si>
    <t>7.3.1</t>
  </si>
  <si>
    <t>7.3.2</t>
  </si>
  <si>
    <t>7.3.3</t>
  </si>
  <si>
    <t>7.4.1</t>
  </si>
  <si>
    <t>7.4.2</t>
  </si>
  <si>
    <t>7.4.3</t>
  </si>
  <si>
    <t>7.5.1</t>
  </si>
  <si>
    <t>7.5.2</t>
  </si>
  <si>
    <t>8.1.1</t>
  </si>
  <si>
    <t>8.1.2</t>
  </si>
  <si>
    <t>8.1.3</t>
  </si>
  <si>
    <t>8.2.1</t>
  </si>
  <si>
    <t>9.1.1</t>
  </si>
  <si>
    <t>9.1.2</t>
  </si>
  <si>
    <t>9.1.3</t>
  </si>
  <si>
    <t>9.1.4</t>
  </si>
  <si>
    <t>9.1.5</t>
  </si>
  <si>
    <t>10.1.1</t>
  </si>
  <si>
    <t>10.1.2</t>
  </si>
  <si>
    <t>10.1.3</t>
  </si>
  <si>
    <t>10.2.1</t>
  </si>
  <si>
    <t>10.2.2</t>
  </si>
  <si>
    <t>10.2.3</t>
  </si>
  <si>
    <t>기준일</t>
  </si>
  <si>
    <t>범 례</t>
  </si>
  <si>
    <t>보류</t>
  </si>
  <si>
    <t>업무명</t>
  </si>
  <si>
    <t>파트</t>
  </si>
  <si>
    <t>1.0</t>
  </si>
  <si>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</si>
  <si>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</si>
  <si>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</si>
  <si>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</si>
  <si>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</si>
  <si>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</si>
  <si>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</si>
  <si>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</si>
  <si>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</si>
  <si>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3.0</t>
  </si>
  <si>
    <t>3.1</t>
  </si>
  <si>
    <t>3.2</t>
  </si>
  <si>
    <t>4.0</t>
  </si>
  <si>
    <t>4.1</t>
  </si>
  <si>
    <t>4.2</t>
  </si>
  <si>
    <t>4.3</t>
  </si>
  <si>
    <t>5.0</t>
  </si>
  <si>
    <t>5.1</t>
  </si>
  <si>
    <t>5.2</t>
  </si>
  <si>
    <t>5.3</t>
  </si>
  <si>
    <t>5.4</t>
  </si>
  <si>
    <t>프로젝트 WBS — Podium (AI 발표 분석 시스템)</t>
  </si>
  <si>
    <t>Podium — AI 발표 분석 시스템</t>
  </si>
  <si>
    <t>⚠ 마감초과</t>
  </si>
  <si>
    <t>⚡ 미래완료</t>
  </si>
  <si>
    <t>메시지(자동)</t>
  </si>
  <si>
    <t>메모</t>
  </si>
  <si>
    <t xml:space="preserve">   프로젝트 아이디어 수립</t>
  </si>
  <si>
    <t xml:space="preserve">      Podium - AI 발표 분석 시스템</t>
  </si>
  <si>
    <t xml:space="preserve">   기술 스택 선정</t>
  </si>
  <si>
    <t xml:space="preserve">      FastAPI / Next.js / PostgreSQL / Gemini / faster-whisper</t>
  </si>
  <si>
    <t xml:space="preserve">   시스템 아키텍처 설계</t>
  </si>
  <si>
    <t xml:space="preserve">      Client - FastAPI - Pipeline - AI/DB 레이어 구조</t>
  </si>
  <si>
    <t xml:space="preserve">   파이프라인 설계</t>
  </si>
  <si>
    <t xml:space="preserve">      STEP 1~5 (전처리/영상분석/음성분석/구간분리/피드백)</t>
  </si>
  <si>
    <t xml:space="preserve">   JSON 스키마 정의</t>
  </si>
  <si>
    <t xml:space="preserve">      세션-구간-피드백 데이터 구조</t>
  </si>
  <si>
    <t xml:space="preserve">   사용자 시나리오 작성</t>
  </si>
  <si>
    <t xml:space="preserve">      페르소나 2명 (김민호 / 이서연)</t>
  </si>
  <si>
    <t xml:space="preserve">   UI/UX 디자인</t>
  </si>
  <si>
    <t xml:space="preserve">      메인 화면 10개 + 메뉴바 구조</t>
  </si>
  <si>
    <t xml:space="preserve">   DB 모델 설계</t>
  </si>
  <si>
    <t xml:space="preserve">      User / Project / Session / Chunk / Segment (분석 결과 계층 분리)</t>
  </si>
  <si>
    <t xml:space="preserve">   유즈케이스 작성</t>
  </si>
  <si>
    <t xml:space="preserve">      UC-001 ~ UC-010 (사용자 중심 흐름)</t>
  </si>
  <si>
    <t xml:space="preserve">   WBS 작성</t>
  </si>
  <si>
    <t xml:space="preserve">      v0.3</t>
  </si>
  <si>
    <t xml:space="preserve">   프로젝트 구조 세팅</t>
  </si>
  <si>
    <t xml:space="preserve">      FastAPI 폴더 구조 + .gitignore + .env</t>
  </si>
  <si>
    <t xml:space="preserve">      가상환경 + requirements.txt</t>
  </si>
  <si>
    <t xml:space="preserve">   DB 연결 설정</t>
  </si>
  <si>
    <t xml:space="preserve">      PostgreSQL Docker 실행</t>
  </si>
  <si>
    <t xml:space="preserve">      SQLAlchemy 세션 + connection pool</t>
  </si>
  <si>
    <t xml:space="preserve">   DB 모델 구현</t>
  </si>
  <si>
    <t xml:space="preserve">      User / Project / Session / Chunk / 영상분석 / Segment / Feedback</t>
  </si>
  <si>
    <t xml:space="preserve">      Alembic 마이그레이션 설정</t>
  </si>
  <si>
    <t xml:space="preserve">   환경 변수 관리</t>
  </si>
  <si>
    <t xml:space="preserve">      .env / config.py 모듈화</t>
  </si>
  <si>
    <t xml:space="preserve">   파일 저장 모듈</t>
  </si>
  <si>
    <t xml:space="preserve">      로컬 → S3/R2 추상화 레이어</t>
  </si>
  <si>
    <t xml:space="preserve">   회원가입</t>
  </si>
  <si>
    <t xml:space="preserve">      회원가입 API (이메일/비밀번호)</t>
  </si>
  <si>
    <t xml:space="preserve">      비밀번호 해싱 (bcrypt)</t>
  </si>
  <si>
    <t xml:space="preserve">      이메일 중복 체크 API</t>
  </si>
  <si>
    <t xml:space="preserve">   로그인</t>
  </si>
  <si>
    <t xml:space="preserve">      로그인 API (JWT 토큰 발급)</t>
  </si>
  <si>
    <t xml:space="preserve">      JWT 인증 미들웨어</t>
  </si>
  <si>
    <t xml:space="preserve">      토큰 갱신 / 로그아웃 처리</t>
  </si>
  <si>
    <t xml:space="preserve">   프로젝트 관리</t>
  </si>
  <si>
    <t xml:space="preserve">      프로젝트 생성 API</t>
  </si>
  <si>
    <t xml:space="preserve">      프로젝트 목록 조회 API (세션 포함 조회)</t>
  </si>
  <si>
    <t xml:space="preserve">      프로젝트 수정 / 삭제 API (세션 · 파일 정리 포함)</t>
  </si>
  <si>
    <t xml:space="preserve">   세션 관리</t>
  </si>
  <si>
    <t xml:space="preserve">      세션 생성 API</t>
  </si>
  <si>
    <t xml:space="preserve">      세션 조회 / 목록 API</t>
  </si>
  <si>
    <t xml:space="preserve">      세션 삭제 API (청크/영상 동시 삭제)</t>
  </si>
  <si>
    <t xml:space="preserve">      세션 상태 조회 API (분석 진행률)</t>
  </si>
  <si>
    <t xml:space="preserve">   영상 업로드</t>
  </si>
  <si>
    <t xml:space="preserve">      청크 업로드 API</t>
  </si>
  <si>
    <t xml:space="preserve">      전체 영상 업로드 API</t>
  </si>
  <si>
    <t xml:space="preserve">      영상 스트리밍 API (정적 서빙 + 구간 재생 지원)</t>
  </si>
  <si>
    <t xml:space="preserve">      PDF 업로드 API</t>
  </si>
  <si>
    <t xml:space="preserve">   STEP 1. 전처리</t>
  </si>
  <si>
    <t xml:space="preserve">      스마트 청킹 — 모션 기반 동적 구간 분할</t>
  </si>
  <si>
    <t xml:space="preserve">      구간 → 오디오 추출 (ffmpeg)</t>
  </si>
  <si>
    <t xml:space="preserve">      타임스탬프 기준 샘플링 / offset 계산</t>
  </si>
  <si>
    <t xml:space="preserve">   STEP 2. 영상 분석</t>
  </si>
  <si>
    <t xml:space="preserve">      VLM 프롬프트 설계 (자세/시선/제스처 7종)</t>
  </si>
  <si>
    <t xml:space="preserve">      청크 → VLM 전송 로직</t>
  </si>
  <si>
    <t xml:space="preserve">      VLM 호출 + 결과 구조화 / 영상분석 결과 적재</t>
  </si>
  <si>
    <t xml:space="preserve">   STEP 3. 음성 분석</t>
  </si>
  <si>
    <t xml:space="preserve">      음성 분석 방식 2트랙 비교 · 채택 (로컬 STT 방식 / Gemini 오디오 방식 → 로컬 STT 채택)</t>
  </si>
  <si>
    <t xml:space="preserve">      필러 단어 탐지 (어휘 경로)</t>
  </si>
  <si>
    <t xml:space="preserve">      무음 구간 탐지 (VAD)</t>
  </si>
  <si>
    <t xml:space="preserve">      말 속도 (SPM / 조음 속도)</t>
  </si>
  <si>
    <t xml:space="preserve">      말더듬(반복) 탐지</t>
  </si>
  <si>
    <t xml:space="preserve">      음성 분석 검증 (실제 녹음 라벨링 · 탐지 임계값 확정)</t>
  </si>
  <si>
    <t xml:space="preserve">   STEP 4. 구간 분리</t>
  </si>
  <si>
    <t xml:space="preserve">      LLM 구간 분리 프롬프트 설계</t>
  </si>
  <si>
    <t xml:space="preserve">      Gemini 호출 + 응답 파싱</t>
  </si>
  <si>
    <t xml:space="preserve">      PDF 슬라이드 매핑 (선택 기능)</t>
  </si>
  <si>
    <t xml:space="preserve">      청크 → 구간 매핑 로직</t>
  </si>
  <si>
    <t xml:space="preserve">   STEP 5. 종합 피드백</t>
  </si>
  <si>
    <t xml:space="preserve">      멀티모달 통합 프롬프트 설계</t>
  </si>
  <si>
    <t xml:space="preserve">      LLM 호출 + 피드백 생성</t>
  </si>
  <si>
    <t xml:space="preserve">      세션 요약 / 하이라이트 집계</t>
  </si>
  <si>
    <t xml:space="preserve">   파이프라인 통합</t>
  </si>
  <si>
    <t xml:space="preserve">      비동기 작업 처리 (BackgroundTasks)</t>
  </si>
  <si>
    <t xml:space="preserve">      에러 처리 / 재시도 로직</t>
  </si>
  <si>
    <t xml:space="preserve">      API 비용 모니터링</t>
  </si>
  <si>
    <t xml:space="preserve">   프로젝트 세팅</t>
  </si>
  <si>
    <t xml:space="preserve">      Next.js 14 + TypeScript</t>
  </si>
  <si>
    <t xml:space="preserve">      Tailwind CSS / 디자인 시스템 세팅</t>
  </si>
  <si>
    <t xml:space="preserve">      라우팅 구조 잡기</t>
  </si>
  <si>
    <t xml:space="preserve">   공통 컴포넌트</t>
  </si>
  <si>
    <t xml:space="preserve">      메뉴바 (Navbar)</t>
  </si>
  <si>
    <t xml:space="preserve">      카드 / 버튼 / 모달 / 입력 컴포넌트</t>
  </si>
  <si>
    <t xml:space="preserve">      로딩 / 에러 / 404 페이지</t>
  </si>
  <si>
    <t xml:space="preserve">   API 연동 모듈</t>
  </si>
  <si>
    <t xml:space="preserve">      fetch 래퍼 + 토큰 관리</t>
  </si>
  <si>
    <t xml:space="preserve">      인증 컨텍스트 (로그인 상태)</t>
  </si>
  <si>
    <t xml:space="preserve">      Mock 데이터 → 실제 API 연동</t>
  </si>
  <si>
    <t xml:space="preserve">   인증 페이지</t>
  </si>
  <si>
    <t xml:space="preserve">      로그인 페이지</t>
  </si>
  <si>
    <t xml:space="preserve">      회원가입 페이지</t>
  </si>
  <si>
    <t xml:space="preserve">   메인 페이지</t>
  </si>
  <si>
    <t xml:space="preserve">      홈 (최근 활동 + 누적 통계)</t>
  </si>
  <si>
    <t xml:space="preserve">      내 기록 (프로젝트 폴더 목록)</t>
  </si>
  <si>
    <t xml:space="preserve">      프로젝트 상세 (회차 목록)</t>
  </si>
  <si>
    <t xml:space="preserve">   촬영 흐름</t>
  </si>
  <si>
    <t xml:space="preserve">      촬영 페이지 (MediaRecorder + 청크 전송)</t>
  </si>
  <si>
    <t xml:space="preserve">      업로드 페이지 (PDF + 시나리오)</t>
  </si>
  <si>
    <t xml:space="preserve">      분석 진행 페이지 (프로그레스)</t>
  </si>
  <si>
    <t xml:space="preserve">   결과 확인</t>
  </si>
  <si>
    <t xml:space="preserve">      결과 대시보드 (구간 타임라인 + 차트)</t>
  </si>
  <si>
    <t xml:space="preserve">      구간 상세 (영상 + STT + 피드백)</t>
  </si>
  <si>
    <t xml:space="preserve">      인터랙티브 스크립트</t>
  </si>
  <si>
    <t xml:space="preserve">   비교 / 추세</t>
  </si>
  <si>
    <t xml:space="preserve">      회차 비교 페이지</t>
  </si>
  <si>
    <t xml:space="preserve">      전체 추세 페이지</t>
  </si>
  <si>
    <t xml:space="preserve">   테스트</t>
  </si>
  <si>
    <t xml:space="preserve">      API 통합 테스트 (FE-BE 연동)</t>
  </si>
  <si>
    <t xml:space="preserve">      파이프라인 E2E 테스트</t>
  </si>
  <si>
    <t xml:space="preserve">      예외 케이스 / 에러 처리 검증</t>
  </si>
  <si>
    <t xml:space="preserve">   성능</t>
  </si>
  <si>
    <t xml:space="preserve">      비용 / 응답 시간 최적화</t>
  </si>
  <si>
    <t xml:space="preserve">   인프라</t>
  </si>
  <si>
    <t xml:space="preserve">      Docker Compose 작성</t>
  </si>
  <si>
    <t xml:space="preserve">      백엔드 배포 (Railway / EC2)</t>
  </si>
  <si>
    <t xml:space="preserve">      프론트엔드 배포 (Vercel)</t>
  </si>
  <si>
    <t xml:space="preserve">      파일 저장소 연결 (S3 / R2)</t>
  </si>
  <si>
    <t xml:space="preserve">      PostgreSQL 호스팅 연결</t>
  </si>
  <si>
    <t xml:space="preserve">   발표</t>
  </si>
  <si>
    <t xml:space="preserve">      중간 발표 자료 + 데모</t>
  </si>
  <si>
    <t xml:space="preserve">      최종 발표 자료 준비</t>
  </si>
  <si>
    <t xml:space="preserve">      데모 영상 녹화</t>
  </si>
  <si>
    <t xml:space="preserve">   문서화</t>
  </si>
  <si>
    <t xml:space="preserve">      README 작성 (설치/실행 가이드)</t>
  </si>
  <si>
    <t xml:space="preserve">      API 문서 (Swagger)</t>
  </si>
  <si>
    <t xml:space="preserve">      기술 문서 정리 (아키텍처/파이프라인)</t>
  </si>
  <si>
    <t>1.5</t>
  </si>
  <si>
    <t>1.6</t>
  </si>
  <si>
    <t>1.7</t>
  </si>
  <si>
    <t>1.8</t>
  </si>
  <si>
    <t>1.9</t>
  </si>
  <si>
    <t>1.10</t>
  </si>
  <si>
    <t>5.5</t>
  </si>
  <si>
    <t>5.6</t>
  </si>
  <si>
    <t>6.0</t>
  </si>
  <si>
    <t>6.1</t>
  </si>
  <si>
    <t>6.2</t>
  </si>
  <si>
    <t>6.3</t>
  </si>
  <si>
    <t>7.0</t>
  </si>
  <si>
    <t>7.1</t>
  </si>
  <si>
    <t>7.2</t>
  </si>
  <si>
    <t>7.3</t>
  </si>
  <si>
    <t>7.4</t>
  </si>
  <si>
    <t>7.5</t>
  </si>
  <si>
    <t>8.0</t>
  </si>
  <si>
    <t>8.1</t>
  </si>
  <si>
    <t>8.2</t>
  </si>
  <si>
    <t>9.0</t>
  </si>
  <si>
    <t>9.1</t>
  </si>
  <si>
    <t>10.0</t>
  </si>
  <si>
    <t>10.1</t>
  </si>
  <si>
    <t>10.2</t>
  </si>
  <si>
    <t>그 외 (흰색)</t>
  </si>
  <si>
    <t>공휴일 (Y 입력)</t>
  </si>
  <si>
    <t>Y</t>
  </si>
  <si>
    <t>최은재</t>
  </si>
  <si>
    <t>홍진수</t>
  </si>
  <si>
    <t>막대숨김</t>
  </si>
  <si>
    <t>PJ명</t>
    <phoneticPr fontId="7" type="noConversion"/>
  </si>
  <si>
    <t>PJ 기간</t>
    <phoneticPr fontId="7" type="noConversion"/>
  </si>
  <si>
    <t>2026-05-04 ~ 2026-11-23 (30주)</t>
    <phoneticPr fontId="7" type="noConversion"/>
  </si>
  <si>
    <t>간트 막대: 완료 = 전 구간 진한색 / 진행중 = 시작일 진한색 + 이후 연한색 / 작업대기·보류 = 전 구간 연한색 (BE #FF7B00 · FE #2365F5 · 공통 #00AF00 · 소계 회색) / 주말 회색 · 공휴일 연노랑이 막대보다 우선</t>
  </si>
  <si>
    <t>공통</t>
    <phoneticPr fontId="7" type="noConversion"/>
  </si>
  <si>
    <t>FE</t>
    <phoneticPr fontId="7" type="noConversion"/>
  </si>
  <si>
    <t>최은재</t>
    <phoneticPr fontId="7" type="noConversion"/>
  </si>
  <si>
    <t>홍진수</t>
    <phoneticPr fontId="7" type="noConversion"/>
  </si>
  <si>
    <t>개발 (BE - 핵심 API)</t>
    <phoneticPr fontId="7" type="noConversion"/>
  </si>
  <si>
    <t xml:space="preserve">	</t>
    <phoneticPr fontId="7" type="noConversion"/>
  </si>
  <si>
    <t>개발 (FE - 세팅)</t>
    <phoneticPr fontId="7" type="noConversion"/>
  </si>
  <si>
    <t>개발 (BE - 세팅)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</si>
</sst>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\-dd"/>
    <numFmt numFmtId="178" formatCode="d"/>
  </numFmts>
  <fonts count="39">
    <font>
      <sz val="11"/>
      <color theme="1"/>
      <name val="맑은 고딕"/>
      <family val="2"/>
      <scheme val="minor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sz val="9"/>
      <color rgb="FF555555"/>
      <name val="Arial"/>
      <family val="2"/>
    </font>
    <font>
      <sz val="11"/>
      <name val="맑은 고딕"/>
      <family val="2"/>
      <charset val="129"/>
    </font>
    <font>
      <b/>
      <sz val="12"/>
      <color rgb="FF1F4E79"/>
      <name val="Arial"/>
      <family val="2"/>
    </font>
    <font>
      <b/>
      <sz val="1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 tint="4.9989318521683403E-2"/>
      <name val="Arial"/>
      <family val="2"/>
    </font>
    <font>
      <b/>
      <sz val="11"/>
      <color theme="1" tint="4.9989318521683403E-2"/>
      <name val="Arial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sz val="10"/>
      <color rgb="FFFFFFFF"/>
      <name val="Malgun Gothic"/>
      <family val="2"/>
      <charset val="129"/>
    </font>
    <font>
      <i/>
      <sz val="1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b/>
      <sz val="14"/>
      <color rgb="FFFFFFFF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7"/>
      <color rgb="FF854D0E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b/>
      <sz val="8"/>
      <color rgb="FFFFFFFF"/>
      <name val="Malgun Gothic"/>
      <family val="2"/>
      <charset val="129"/>
    </font>
    <font>
      <sz val="9"/>
      <color rgb="FF000000"/>
      <name val="Malgun Gothic"/>
      <family val="2"/>
      <charset val="129"/>
    </font>
    <font>
      <b/>
      <sz val="9"/>
      <color rgb="FF1F3864"/>
      <name val="Malgun Gothic"/>
      <family val="2"/>
      <charset val="129"/>
    </font>
    <font>
      <b/>
      <sz val="8"/>
      <color rgb="FF166534"/>
      <name val="Malgun Gothic"/>
      <family val="2"/>
      <charset val="129"/>
    </font>
    <font>
      <b/>
      <sz val="8"/>
      <color rgb="FF1D4ED8"/>
      <name val="Malgun Gothic"/>
      <family val="2"/>
      <charset val="129"/>
    </font>
    <font>
      <b/>
      <sz val="8"/>
      <color rgb="FF666666"/>
      <name val="Malgun Gothic"/>
      <family val="2"/>
      <charset val="129"/>
    </font>
    <font>
      <b/>
      <sz val="8"/>
      <color rgb="FF7C2D12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1"/>
      <color rgb="FFC2410C"/>
      <name val="맑은 고딕"/>
      <family val="2"/>
      <scheme val="minor"/>
    </font>
    <font>
      <b/>
      <sz val="8"/>
      <color rgb="FFFFFFFF"/>
      <name val="맑은 고딕"/>
      <family val="2"/>
      <scheme val="minor"/>
    </font>
    <font>
      <b/>
      <sz val="8"/>
      <color rgb="FF555555"/>
      <name val="맑은 고딕"/>
      <family val="2"/>
      <scheme val="minor"/>
    </font>
    <font>
      <b/>
      <sz val="7"/>
      <color rgb="FF854D0E"/>
      <name val="맑은 고딕"/>
      <family val="2"/>
      <scheme val="minor"/>
    </font>
    <font>
      <sz val="9"/>
      <color rgb="FF1F3864"/>
      <name val="Malgun Gothic"/>
      <family val="2"/>
      <charset val="129"/>
    </font>
    <font>
      <sz val="7"/>
      <color rgb="FF1D4ED8"/>
      <name val="맑은 고딕"/>
      <family val="2"/>
      <scheme val="minor"/>
    </font>
    <font>
      <b/>
      <sz val="9"/>
      <color theme="1"/>
      <name val="Malgun Gothic"/>
      <family val="2"/>
      <charset val="129"/>
    </font>
    <font>
      <b/>
      <sz val="10"/>
      <color rgb="FF1F3864"/>
      <name val="Malgun Gothic"/>
      <family val="2"/>
      <charset val="129"/>
    </font>
    <font>
      <b/>
      <sz val="8"/>
      <color rgb="FF999999"/>
      <name val="Malgun Gothic"/>
      <family val="2"/>
      <charset val="129"/>
    </font>
  </fonts>
  <fills count="3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FF2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A8D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9EAD4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0" fillId="7" borderId="1" xfId="0" applyFill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10" borderId="1" xfId="0" applyFill="1" applyBorder="1"/>
    <xf numFmtId="0" fontId="4" fillId="2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9" fontId="4" fillId="11" borderId="1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11" borderId="0" xfId="0" applyFill="1"/>
    <xf numFmtId="0" fontId="15" fillId="0" borderId="0" xfId="0" applyFont="1" applyAlignment="1">
      <alignment horizontal="right"/>
    </xf>
    <xf numFmtId="0" fontId="12" fillId="0" borderId="0" xfId="0" applyFont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0" fontId="0" fillId="11" borderId="1" xfId="0" applyFill="1" applyBorder="1"/>
    <xf numFmtId="1" fontId="0" fillId="11" borderId="1" xfId="0" applyNumberFormat="1" applyFill="1" applyBorder="1" applyAlignment="1">
      <alignment horizontal="center"/>
    </xf>
    <xf numFmtId="9" fontId="16" fillId="11" borderId="1" xfId="0" applyNumberFormat="1" applyFont="1" applyFill="1" applyBorder="1" applyAlignment="1">
      <alignment horizontal="center"/>
    </xf>
    <xf numFmtId="176" fontId="0" fillId="11" borderId="1" xfId="0" applyNumberFormat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176" fontId="14" fillId="9" borderId="1" xfId="0" applyNumberFormat="1" applyFont="1" applyFill="1" applyBorder="1" applyAlignment="1">
      <alignment horizontal="center"/>
    </xf>
    <xf numFmtId="0" fontId="0" fillId="13" borderId="1" xfId="0" applyFill="1" applyBorder="1"/>
    <xf numFmtId="0" fontId="10" fillId="13" borderId="3" xfId="0" applyFont="1" applyFill="1" applyBorder="1"/>
    <xf numFmtId="0" fontId="10" fillId="13" borderId="1" xfId="0" applyFont="1" applyFill="1" applyBorder="1"/>
    <xf numFmtId="0" fontId="0" fillId="10" borderId="6" xfId="0" applyFill="1" applyBorder="1"/>
    <xf numFmtId="0" fontId="0" fillId="14" borderId="1" xfId="0" applyFill="1" applyBorder="1"/>
    <xf numFmtId="0" fontId="4" fillId="1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21" fillId="26" borderId="1" xfId="0" applyFont="1" applyFill="1" applyBorder="1" applyAlignment="1">
      <alignment horizontal="center"/>
    </xf>
    <xf numFmtId="49" fontId="23" fillId="11" borderId="1" xfId="0" applyNumberFormat="1" applyFont="1" applyFill="1" applyBorder="1" applyAlignment="1">
      <alignment horizontal="center"/>
    </xf>
    <xf numFmtId="0" fontId="23" fillId="11" borderId="1" xfId="0" applyFont="1" applyFill="1" applyBorder="1" applyAlignment="1">
      <alignment horizontal="left"/>
    </xf>
    <xf numFmtId="0" fontId="23" fillId="11" borderId="1" xfId="0" applyFont="1" applyFill="1" applyBorder="1" applyAlignment="1">
      <alignment horizontal="center"/>
    </xf>
    <xf numFmtId="177" fontId="23" fillId="11" borderId="1" xfId="0" applyNumberFormat="1" applyFont="1" applyFill="1" applyBorder="1" applyAlignment="1">
      <alignment horizontal="center"/>
    </xf>
    <xf numFmtId="9" fontId="23" fillId="11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0" fontId="26" fillId="22" borderId="1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22" fillId="23" borderId="1" xfId="0" applyFont="1" applyFill="1" applyBorder="1" applyAlignment="1">
      <alignment horizontal="center"/>
    </xf>
    <xf numFmtId="0" fontId="28" fillId="24" borderId="1" xfId="0" applyFont="1" applyFill="1" applyBorder="1" applyAlignment="1">
      <alignment horizontal="center"/>
    </xf>
    <xf numFmtId="49" fontId="37" fillId="11" borderId="1" xfId="0" applyNumberFormat="1" applyFont="1" applyFill="1" applyBorder="1" applyAlignment="1">
      <alignment horizontal="center"/>
    </xf>
    <xf numFmtId="0" fontId="37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center"/>
    </xf>
    <xf numFmtId="177" fontId="37" fillId="11" borderId="1" xfId="0" applyNumberFormat="1" applyFont="1" applyFill="1" applyBorder="1" applyAlignment="1">
      <alignment horizontal="center"/>
    </xf>
    <xf numFmtId="9" fontId="37" fillId="11" borderId="1" xfId="0" applyNumberFormat="1" applyFont="1" applyFill="1" applyBorder="1" applyAlignment="1">
      <alignment horizontal="center"/>
    </xf>
    <xf numFmtId="49" fontId="24" fillId="11" borderId="1" xfId="0" applyNumberFormat="1" applyFont="1" applyFill="1" applyBorder="1" applyAlignment="1">
      <alignment horizontal="center"/>
    </xf>
    <xf numFmtId="0" fontId="24" fillId="11" borderId="1" xfId="0" applyFont="1" applyFill="1" applyBorder="1" applyAlignment="1">
      <alignment horizontal="left"/>
    </xf>
    <xf numFmtId="0" fontId="24" fillId="11" borderId="1" xfId="0" applyFont="1" applyFill="1" applyBorder="1" applyAlignment="1">
      <alignment horizontal="center"/>
    </xf>
    <xf numFmtId="177" fontId="24" fillId="11" borderId="1" xfId="0" applyNumberFormat="1" applyFont="1" applyFill="1" applyBorder="1" applyAlignment="1">
      <alignment horizontal="center"/>
    </xf>
    <xf numFmtId="9" fontId="24" fillId="11" borderId="1" xfId="0" applyNumberFormat="1" applyFont="1" applyFill="1" applyBorder="1" applyAlignment="1">
      <alignment horizontal="center"/>
    </xf>
    <xf numFmtId="0" fontId="31" fillId="18" borderId="8" xfId="0" applyFont="1" applyFill="1" applyBorder="1" applyAlignment="1">
      <alignment horizontal="left"/>
    </xf>
    <xf numFmtId="178" fontId="31" fillId="18" borderId="8" xfId="0" applyNumberFormat="1" applyFont="1" applyFill="1" applyBorder="1" applyAlignment="1">
      <alignment horizontal="center"/>
    </xf>
    <xf numFmtId="0" fontId="35" fillId="28" borderId="8" xfId="0" applyFont="1" applyFill="1" applyBorder="1" applyAlignment="1">
      <alignment horizontal="center"/>
    </xf>
    <xf numFmtId="0" fontId="0" fillId="29" borderId="8" xfId="0" applyFill="1" applyBorder="1"/>
    <xf numFmtId="0" fontId="20" fillId="27" borderId="1" xfId="0" applyFont="1" applyFill="1" applyBorder="1" applyAlignment="1">
      <alignment horizontal="center"/>
    </xf>
    <xf numFmtId="0" fontId="33" fillId="27" borderId="8" xfId="0" applyFont="1" applyFill="1" applyBorder="1" applyAlignment="1">
      <alignment horizontal="center"/>
    </xf>
    <xf numFmtId="0" fontId="38" fillId="11" borderId="1" xfId="0" applyFont="1" applyFill="1" applyBorder="1" applyAlignment="1">
      <alignment horizontal="left"/>
    </xf>
    <xf numFmtId="0" fontId="29" fillId="19" borderId="1" xfId="0" applyFont="1" applyFill="1" applyBorder="1" applyAlignment="1">
      <alignment horizontal="center"/>
    </xf>
    <xf numFmtId="0" fontId="0" fillId="0" borderId="1" xfId="0" applyBorder="1"/>
    <xf numFmtId="177" fontId="30" fillId="20" borderId="1" xfId="0" applyNumberFormat="1" applyFont="1" applyFill="1" applyBorder="1" applyAlignment="1">
      <alignment horizontal="center"/>
    </xf>
    <xf numFmtId="0" fontId="36" fillId="19" borderId="1" xfId="0" applyFont="1" applyFill="1" applyBorder="1" applyAlignment="1">
      <alignment horizontal="center"/>
    </xf>
    <xf numFmtId="176" fontId="15" fillId="9" borderId="1" xfId="0" applyNumberFormat="1" applyFont="1" applyFill="1" applyBorder="1" applyAlignment="1">
      <alignment horizontal="center"/>
    </xf>
    <xf numFmtId="0" fontId="32" fillId="25" borderId="1" xfId="0" applyFont="1" applyFill="1" applyBorder="1" applyAlignment="1">
      <alignment horizontal="center"/>
    </xf>
    <xf numFmtId="0" fontId="21" fillId="26" borderId="6" xfId="0" applyFont="1" applyFill="1" applyBorder="1" applyAlignment="1">
      <alignment horizontal="center"/>
    </xf>
    <xf numFmtId="49" fontId="37" fillId="11" borderId="5" xfId="0" applyNumberFormat="1" applyFont="1" applyFill="1" applyBorder="1" applyAlignment="1">
      <alignment horizontal="center"/>
    </xf>
    <xf numFmtId="0" fontId="37" fillId="11" borderId="5" xfId="0" applyFont="1" applyFill="1" applyBorder="1" applyAlignment="1">
      <alignment horizontal="left"/>
    </xf>
    <xf numFmtId="0" fontId="37" fillId="11" borderId="5" xfId="0" applyFont="1" applyFill="1" applyBorder="1" applyAlignment="1">
      <alignment horizontal="center"/>
    </xf>
    <xf numFmtId="177" fontId="37" fillId="11" borderId="5" xfId="0" applyNumberFormat="1" applyFont="1" applyFill="1" applyBorder="1" applyAlignment="1">
      <alignment horizontal="center"/>
    </xf>
    <xf numFmtId="9" fontId="37" fillId="11" borderId="5" xfId="0" applyNumberFormat="1" applyFont="1" applyFill="1" applyBorder="1" applyAlignment="1">
      <alignment horizontal="center"/>
    </xf>
    <xf numFmtId="0" fontId="34" fillId="11" borderId="1" xfId="0" applyFont="1" applyFill="1" applyBorder="1" applyAlignment="1">
      <alignment horizontal="center"/>
    </xf>
    <xf numFmtId="0" fontId="24" fillId="30" borderId="3" xfId="0" applyFont="1" applyFill="1" applyBorder="1" applyAlignment="1">
      <alignment horizontal="center"/>
    </xf>
    <xf numFmtId="0" fontId="17" fillId="18" borderId="0" xfId="0" applyFont="1" applyFill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35">
    <dxf>
      <fill>
        <patternFill patternType="solid">
          <fgColor indexed="64"/>
          <bgColor rgb="FFCFEBCF"/>
        </patternFill>
      </fill>
    </dxf>
    <dxf>
      <fill>
        <patternFill patternType="solid">
          <fgColor indexed="64"/>
          <bgColor rgb="FFD6E4FB"/>
        </patternFill>
      </fill>
    </dxf>
    <dxf>
      <fill>
        <patternFill patternType="solid">
          <fgColor indexed="64"/>
          <bgColor rgb="FFFFDCBF"/>
        </patternFill>
      </fill>
    </dxf>
    <dxf>
      <fill>
        <patternFill patternType="solid">
          <fgColor indexed="64"/>
          <bgColor rgb="FFF0F0F0"/>
        </patternFill>
      </fill>
    </dxf>
    <dxf>
      <fill>
        <patternFill patternType="solid">
          <fgColor indexed="64"/>
          <bgColor rgb="FF00AF00"/>
        </patternFill>
      </fill>
    </dxf>
    <dxf>
      <fill>
        <patternFill patternType="solid">
          <fgColor indexed="64"/>
          <bgColor rgb="FF2365F5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7B00"/>
        </patternFill>
      </fill>
    </dxf>
    <dxf>
      <fill>
        <patternFill patternType="solid">
          <fgColor indexed="64"/>
          <bgColor rgb="FFCFEBCF"/>
        </patternFill>
      </fill>
    </dxf>
    <dxf>
      <fill>
        <patternFill patternType="solid">
          <fgColor indexed="64"/>
          <bgColor rgb="FFD6E4FB"/>
        </patternFill>
      </fill>
    </dxf>
    <dxf>
      <fill>
        <patternFill patternType="solid">
          <fgColor indexed="64"/>
          <bgColor rgb="FFFFDCBF"/>
        </patternFill>
      </fill>
    </dxf>
    <dxf>
      <fill>
        <patternFill patternType="solid">
          <fgColor indexed="64"/>
          <bgColor rgb="FFF0F0F0"/>
        </patternFill>
      </fill>
    </dxf>
    <dxf>
      <fill>
        <patternFill patternType="solid">
          <fgColor indexed="64"/>
          <bgColor rgb="FF00AF00"/>
        </patternFill>
      </fill>
    </dxf>
    <dxf>
      <fill>
        <patternFill patternType="solid">
          <fgColor indexed="64"/>
          <bgColor rgb="FF2365F5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7B00"/>
        </patternFill>
      </fill>
    </dxf>
    <dxf>
      <fill>
        <patternFill patternType="solid">
          <fgColor indexed="64"/>
          <bgColor rgb="FFDEDEDE"/>
        </patternFill>
      </fill>
    </dxf>
    <dxf>
      <fill>
        <patternFill patternType="solid">
          <fgColor indexed="64"/>
          <bgColor rgb="FFFFF3CD"/>
        </patternFill>
      </fill>
    </dxf>
    <dxf>
      <fill>
        <patternFill patternType="solid">
          <fgColor indexed="64"/>
          <bgColor rgb="FFCFEBCF"/>
        </patternFill>
      </fill>
    </dxf>
    <dxf>
      <fill>
        <patternFill patternType="solid">
          <fgColor indexed="64"/>
          <bgColor rgb="FFFFDCBF"/>
        </patternFill>
      </fill>
    </dxf>
    <dxf>
      <fill>
        <patternFill patternType="solid">
          <fgColor indexed="64"/>
          <bgColor rgb="FFF0F0F0"/>
        </patternFill>
      </fill>
    </dxf>
    <dxf>
      <fill>
        <patternFill patternType="solid">
          <fgColor indexed="64"/>
          <bgColor rgb="FF00AF00"/>
        </patternFill>
      </fill>
    </dxf>
    <dxf>
      <fill>
        <patternFill patternType="solid">
          <fgColor indexed="64"/>
          <bgColor rgb="FF2365F5"/>
        </patternFill>
      </fill>
    </dxf>
    <dxf>
      <fill>
        <patternFill patternType="solid">
          <fgColor indexed="64"/>
          <bgColor rgb="FFFF7B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D6E4FB"/>
        </patternFill>
      </fill>
    </dxf>
    <dxf>
      <font>
        <color rgb="FF854D0E"/>
      </font>
      <fill>
        <patternFill patternType="solid">
          <fgColor indexed="64"/>
          <bgColor rgb="FFFFF3CD"/>
        </patternFill>
      </fill>
    </dxf>
    <dxf>
      <font>
        <color rgb="FF555555"/>
      </font>
      <fill>
        <patternFill patternType="solid">
          <fgColor indexed="64"/>
          <bgColor rgb="FFDEDEDE"/>
        </patternFill>
      </fill>
    </dxf>
    <dxf>
      <font>
        <color rgb="FFFFFFFF"/>
      </font>
      <fill>
        <patternFill patternType="solid">
          <fgColor indexed="64"/>
          <bgColor rgb="FFEF4444"/>
        </patternFill>
      </fill>
    </dxf>
    <dxf>
      <font>
        <b/>
        <i val="0"/>
        <color rgb="FF7C2D12"/>
      </font>
      <fill>
        <patternFill patternType="solid">
          <fgColor indexed="64"/>
          <bgColor rgb="FFFFF7ED"/>
        </patternFill>
      </fill>
    </dxf>
    <dxf>
      <font>
        <b/>
        <i val="0"/>
        <color rgb="FFDC2626"/>
      </font>
    </dxf>
    <dxf>
      <font>
        <color rgb="FF1D4ED8"/>
      </font>
      <fill>
        <patternFill patternType="solid">
          <fgColor indexed="64"/>
          <bgColor rgb="FFDBEAFE"/>
        </patternFill>
      </fill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color rgb="FF1D4ED8"/>
      </font>
      <fill>
        <patternFill patternType="solid">
          <fgColor indexed="64"/>
          <bgColor rgb="FFDBEAFE"/>
        </patternFill>
      </fill>
    </dxf>
  </dxfs>
  <tableStyles count="0" defaultTableStyle="TableStyleMedium9" defaultPivotStyle="PivotStyleLight16"/>
  <colors>
    <mruColors>
      <color rgb="FFFF7B00"/>
      <color rgb="FFED8F00"/>
      <color rgb="FFE87B00"/>
      <color rgb="FF00AF00"/>
      <color rgb="FF2365F5"/>
      <color rgb="FF3D6DEC"/>
      <color rgb="FF2463EC"/>
      <color rgb="FF249B17"/>
      <color rgb="FFBFDBFF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3A8A47-43FB-4346-AB8D-F2F8F61213F9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c9e581c0-c183-4b60-a2bd-41b1982d157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0178-B689-C140-93D8-67365854DA78}">
  <dimension ref="A1:HM152"/>
  <sheetViews>
    <sheetView tabSelected="1" zoomScaleNormal="100" workbookViewId="0">
      <pane xSplit="11" ySplit="9" topLeftCell="L127" activePane="bottomRight" state="frozen"/>
      <selection pane="topRight" activeCell="L1" sqref="L1"/>
      <selection pane="bottomLeft" activeCell="A10" sqref="A10"/>
      <selection pane="bottomRight" activeCell="B137" sqref="B137"/>
    </sheetView>
  </sheetViews>
  <sheetFormatPr baseColWidth="10" defaultRowHeight="17" outlineLevelRow="1"/>
  <cols>
    <col min="1" max="1" width="7.83203125" customWidth="1"/>
    <col min="2" max="2" width="32.83203125" customWidth="1"/>
    <col min="3" max="3" width="5.83203125" customWidth="1"/>
    <col min="4" max="4" width="7.83203125" customWidth="1"/>
    <col min="5" max="6" width="10.83203125" customWidth="1"/>
    <col min="7" max="8" width="7.83203125" customWidth="1"/>
    <col min="9" max="10" width="12.83203125" customWidth="1"/>
    <col min="11" max="11" width="2.33203125" customWidth="1"/>
    <col min="12" max="221" width="2.5" customWidth="1"/>
  </cols>
  <sheetData>
    <row r="1" spans="1:221" ht="20">
      <c r="A1" s="90" t="s">
        <v>394</v>
      </c>
      <c r="B1" s="91"/>
      <c r="C1" s="91"/>
      <c r="D1" s="91"/>
      <c r="E1" s="91"/>
      <c r="F1" s="91"/>
      <c r="G1" s="91"/>
      <c r="H1" s="91"/>
      <c r="I1" s="91"/>
      <c r="J1" s="91"/>
    </row>
    <row r="3" spans="1:221">
      <c r="A3" s="76" t="s">
        <v>565</v>
      </c>
      <c r="B3" s="77" t="s">
        <v>395</v>
      </c>
      <c r="C3" s="77"/>
      <c r="D3" s="77"/>
      <c r="E3" s="76" t="s">
        <v>367</v>
      </c>
      <c r="F3" s="78">
        <f ca="1">TODAY()</f>
        <v>46282</v>
      </c>
      <c r="G3" s="79" t="s">
        <v>244</v>
      </c>
      <c r="H3" s="80">
        <f ca="1">IFERROR(AVERAGEIFS($G$10:$G$152,$C$10:$C$152,"&lt;&gt;",$H$10:$H$152,"&lt;&gt;삭제"),0)</f>
        <v>0.59563829787234046</v>
      </c>
      <c r="I3" s="77"/>
      <c r="J3" s="77"/>
    </row>
    <row r="4" spans="1:221">
      <c r="A4" s="76" t="s">
        <v>566</v>
      </c>
      <c r="B4" s="77" t="s">
        <v>567</v>
      </c>
      <c r="C4" s="77"/>
      <c r="D4" s="77"/>
      <c r="E4" s="77"/>
      <c r="F4" s="77"/>
      <c r="G4" s="77"/>
      <c r="H4" s="77"/>
      <c r="I4" s="77"/>
      <c r="J4" s="77"/>
    </row>
    <row r="5" spans="1:221">
      <c r="A5" s="81" t="s">
        <v>368</v>
      </c>
      <c r="B5" s="54" t="s">
        <v>78</v>
      </c>
      <c r="C5" s="55" t="s">
        <v>209</v>
      </c>
      <c r="D5" s="56" t="s">
        <v>559</v>
      </c>
      <c r="E5" s="57" t="s">
        <v>396</v>
      </c>
      <c r="F5" s="58" t="s">
        <v>397</v>
      </c>
      <c r="G5" s="77"/>
      <c r="H5" s="77"/>
      <c r="I5" s="77"/>
      <c r="J5" s="77"/>
    </row>
    <row r="6" spans="1:221">
      <c r="A6" s="77" t="s">
        <v>568</v>
      </c>
      <c r="B6" s="77"/>
      <c r="C6" s="77"/>
      <c r="D6" s="77"/>
      <c r="E6" s="77"/>
      <c r="F6" s="77"/>
      <c r="G6" s="77"/>
      <c r="H6" s="77"/>
      <c r="I6" s="77"/>
      <c r="J6" s="77"/>
      <c r="L6" s="69" t="str">
        <f t="shared" ref="L6:BW6" si="0">IF(OR(L7=$L$7,DAY(L7)=1),TEXT(L7,"m월"),"")</f>
        <v>5월</v>
      </c>
      <c r="M6" s="69" t="str">
        <f t="shared" si="0"/>
        <v/>
      </c>
      <c r="N6" s="69" t="str">
        <f t="shared" si="0"/>
        <v/>
      </c>
      <c r="O6" s="69" t="str">
        <f t="shared" si="0"/>
        <v/>
      </c>
      <c r="P6" s="69" t="str">
        <f t="shared" si="0"/>
        <v/>
      </c>
      <c r="Q6" s="69" t="str">
        <f t="shared" si="0"/>
        <v/>
      </c>
      <c r="R6" s="69" t="str">
        <f t="shared" si="0"/>
        <v/>
      </c>
      <c r="S6" s="69" t="str">
        <f t="shared" si="0"/>
        <v/>
      </c>
      <c r="T6" s="69" t="str">
        <f t="shared" si="0"/>
        <v/>
      </c>
      <c r="U6" s="69" t="str">
        <f t="shared" si="0"/>
        <v/>
      </c>
      <c r="V6" s="69" t="str">
        <f t="shared" si="0"/>
        <v/>
      </c>
      <c r="W6" s="69" t="str">
        <f t="shared" si="0"/>
        <v/>
      </c>
      <c r="X6" s="69" t="str">
        <f t="shared" si="0"/>
        <v/>
      </c>
      <c r="Y6" s="69" t="str">
        <f t="shared" si="0"/>
        <v/>
      </c>
      <c r="Z6" s="69" t="str">
        <f t="shared" si="0"/>
        <v/>
      </c>
      <c r="AA6" s="69" t="str">
        <f t="shared" si="0"/>
        <v/>
      </c>
      <c r="AB6" s="69" t="str">
        <f t="shared" si="0"/>
        <v/>
      </c>
      <c r="AC6" s="69" t="str">
        <f t="shared" si="0"/>
        <v/>
      </c>
      <c r="AD6" s="69" t="str">
        <f t="shared" si="0"/>
        <v/>
      </c>
      <c r="AE6" s="69" t="str">
        <f t="shared" si="0"/>
        <v/>
      </c>
      <c r="AF6" s="69" t="str">
        <f t="shared" si="0"/>
        <v/>
      </c>
      <c r="AG6" s="69" t="str">
        <f t="shared" si="0"/>
        <v/>
      </c>
      <c r="AH6" s="69" t="str">
        <f t="shared" si="0"/>
        <v/>
      </c>
      <c r="AI6" s="69" t="str">
        <f t="shared" si="0"/>
        <v/>
      </c>
      <c r="AJ6" s="69" t="str">
        <f t="shared" si="0"/>
        <v/>
      </c>
      <c r="AK6" s="69" t="str">
        <f t="shared" si="0"/>
        <v/>
      </c>
      <c r="AL6" s="69" t="str">
        <f t="shared" si="0"/>
        <v/>
      </c>
      <c r="AM6" s="69" t="str">
        <f t="shared" si="0"/>
        <v/>
      </c>
      <c r="AN6" s="69" t="str">
        <f t="shared" si="0"/>
        <v>6월</v>
      </c>
      <c r="AO6" s="69" t="str">
        <f t="shared" si="0"/>
        <v/>
      </c>
      <c r="AP6" s="69" t="str">
        <f t="shared" si="0"/>
        <v/>
      </c>
      <c r="AQ6" s="69" t="str">
        <f t="shared" si="0"/>
        <v/>
      </c>
      <c r="AR6" s="69" t="str">
        <f t="shared" si="0"/>
        <v/>
      </c>
      <c r="AS6" s="69" t="str">
        <f t="shared" si="0"/>
        <v/>
      </c>
      <c r="AT6" s="69" t="str">
        <f t="shared" si="0"/>
        <v/>
      </c>
      <c r="AU6" s="69" t="str">
        <f t="shared" si="0"/>
        <v/>
      </c>
      <c r="AV6" s="69" t="str">
        <f t="shared" si="0"/>
        <v/>
      </c>
      <c r="AW6" s="69" t="str">
        <f t="shared" si="0"/>
        <v/>
      </c>
      <c r="AX6" s="69" t="str">
        <f t="shared" si="0"/>
        <v/>
      </c>
      <c r="AY6" s="69" t="str">
        <f t="shared" si="0"/>
        <v/>
      </c>
      <c r="AZ6" s="69" t="str">
        <f t="shared" si="0"/>
        <v/>
      </c>
      <c r="BA6" s="69" t="str">
        <f t="shared" si="0"/>
        <v/>
      </c>
      <c r="BB6" s="69" t="str">
        <f t="shared" si="0"/>
        <v/>
      </c>
      <c r="BC6" s="69" t="str">
        <f t="shared" si="0"/>
        <v/>
      </c>
      <c r="BD6" s="69" t="str">
        <f t="shared" si="0"/>
        <v/>
      </c>
      <c r="BE6" s="69" t="str">
        <f t="shared" si="0"/>
        <v/>
      </c>
      <c r="BF6" s="69" t="str">
        <f t="shared" si="0"/>
        <v/>
      </c>
      <c r="BG6" s="69" t="str">
        <f t="shared" si="0"/>
        <v/>
      </c>
      <c r="BH6" s="69" t="str">
        <f t="shared" si="0"/>
        <v/>
      </c>
      <c r="BI6" s="69" t="str">
        <f t="shared" si="0"/>
        <v/>
      </c>
      <c r="BJ6" s="69" t="str">
        <f t="shared" si="0"/>
        <v/>
      </c>
      <c r="BK6" s="69" t="str">
        <f t="shared" si="0"/>
        <v/>
      </c>
      <c r="BL6" s="69" t="str">
        <f t="shared" si="0"/>
        <v/>
      </c>
      <c r="BM6" s="69" t="str">
        <f t="shared" si="0"/>
        <v/>
      </c>
      <c r="BN6" s="69" t="str">
        <f t="shared" si="0"/>
        <v/>
      </c>
      <c r="BO6" s="69" t="str">
        <f t="shared" si="0"/>
        <v/>
      </c>
      <c r="BP6" s="69" t="str">
        <f t="shared" si="0"/>
        <v/>
      </c>
      <c r="BQ6" s="69" t="str">
        <f t="shared" si="0"/>
        <v/>
      </c>
      <c r="BR6" s="69" t="str">
        <f t="shared" si="0"/>
        <v>7월</v>
      </c>
      <c r="BS6" s="69" t="str">
        <f t="shared" si="0"/>
        <v/>
      </c>
      <c r="BT6" s="69" t="str">
        <f t="shared" si="0"/>
        <v/>
      </c>
      <c r="BU6" s="69" t="str">
        <f t="shared" si="0"/>
        <v/>
      </c>
      <c r="BV6" s="69" t="str">
        <f t="shared" si="0"/>
        <v/>
      </c>
      <c r="BW6" s="69" t="str">
        <f t="shared" si="0"/>
        <v/>
      </c>
      <c r="BX6" s="69" t="str">
        <f t="shared" ref="BX6:EI6" si="1">IF(OR(BX7=$L$7,DAY(BX7)=1),TEXT(BX7,"m월"),"")</f>
        <v/>
      </c>
      <c r="BY6" s="69" t="str">
        <f t="shared" si="1"/>
        <v/>
      </c>
      <c r="BZ6" s="69" t="str">
        <f t="shared" si="1"/>
        <v/>
      </c>
      <c r="CA6" s="69" t="str">
        <f t="shared" si="1"/>
        <v/>
      </c>
      <c r="CB6" s="69" t="str">
        <f t="shared" si="1"/>
        <v/>
      </c>
      <c r="CC6" s="69" t="str">
        <f t="shared" si="1"/>
        <v/>
      </c>
      <c r="CD6" s="69" t="str">
        <f t="shared" si="1"/>
        <v/>
      </c>
      <c r="CE6" s="69" t="str">
        <f t="shared" si="1"/>
        <v/>
      </c>
      <c r="CF6" s="69" t="str">
        <f t="shared" si="1"/>
        <v/>
      </c>
      <c r="CG6" s="69" t="str">
        <f t="shared" si="1"/>
        <v/>
      </c>
      <c r="CH6" s="69" t="str">
        <f t="shared" si="1"/>
        <v/>
      </c>
      <c r="CI6" s="69" t="str">
        <f t="shared" si="1"/>
        <v/>
      </c>
      <c r="CJ6" s="69" t="str">
        <f t="shared" si="1"/>
        <v/>
      </c>
      <c r="CK6" s="69" t="str">
        <f t="shared" si="1"/>
        <v/>
      </c>
      <c r="CL6" s="69" t="str">
        <f t="shared" si="1"/>
        <v/>
      </c>
      <c r="CM6" s="69" t="str">
        <f t="shared" si="1"/>
        <v/>
      </c>
      <c r="CN6" s="69" t="str">
        <f t="shared" si="1"/>
        <v/>
      </c>
      <c r="CO6" s="69" t="str">
        <f t="shared" si="1"/>
        <v/>
      </c>
      <c r="CP6" s="69" t="str">
        <f t="shared" si="1"/>
        <v/>
      </c>
      <c r="CQ6" s="69" t="str">
        <f t="shared" si="1"/>
        <v/>
      </c>
      <c r="CR6" s="69" t="str">
        <f t="shared" si="1"/>
        <v/>
      </c>
      <c r="CS6" s="69" t="str">
        <f t="shared" si="1"/>
        <v/>
      </c>
      <c r="CT6" s="69" t="str">
        <f t="shared" si="1"/>
        <v/>
      </c>
      <c r="CU6" s="69" t="str">
        <f t="shared" si="1"/>
        <v/>
      </c>
      <c r="CV6" s="69" t="str">
        <f t="shared" si="1"/>
        <v/>
      </c>
      <c r="CW6" s="69" t="str">
        <f t="shared" si="1"/>
        <v>8월</v>
      </c>
      <c r="CX6" s="69" t="str">
        <f t="shared" si="1"/>
        <v/>
      </c>
      <c r="CY6" s="69" t="str">
        <f t="shared" si="1"/>
        <v/>
      </c>
      <c r="CZ6" s="69" t="str">
        <f t="shared" si="1"/>
        <v/>
      </c>
      <c r="DA6" s="69" t="str">
        <f t="shared" si="1"/>
        <v/>
      </c>
      <c r="DB6" s="69" t="str">
        <f t="shared" si="1"/>
        <v/>
      </c>
      <c r="DC6" s="69" t="str">
        <f t="shared" si="1"/>
        <v/>
      </c>
      <c r="DD6" s="69" t="str">
        <f t="shared" si="1"/>
        <v/>
      </c>
      <c r="DE6" s="69" t="str">
        <f t="shared" si="1"/>
        <v/>
      </c>
      <c r="DF6" s="69" t="str">
        <f t="shared" si="1"/>
        <v/>
      </c>
      <c r="DG6" s="69" t="str">
        <f t="shared" si="1"/>
        <v/>
      </c>
      <c r="DH6" s="69" t="str">
        <f t="shared" si="1"/>
        <v/>
      </c>
      <c r="DI6" s="69" t="str">
        <f t="shared" si="1"/>
        <v/>
      </c>
      <c r="DJ6" s="69" t="str">
        <f t="shared" si="1"/>
        <v/>
      </c>
      <c r="DK6" s="69" t="str">
        <f t="shared" si="1"/>
        <v/>
      </c>
      <c r="DL6" s="69" t="str">
        <f t="shared" si="1"/>
        <v/>
      </c>
      <c r="DM6" s="69" t="str">
        <f t="shared" si="1"/>
        <v/>
      </c>
      <c r="DN6" s="69" t="str">
        <f t="shared" si="1"/>
        <v/>
      </c>
      <c r="DO6" s="69" t="str">
        <f t="shared" si="1"/>
        <v/>
      </c>
      <c r="DP6" s="69" t="str">
        <f t="shared" si="1"/>
        <v/>
      </c>
      <c r="DQ6" s="69" t="str">
        <f t="shared" si="1"/>
        <v/>
      </c>
      <c r="DR6" s="69" t="str">
        <f t="shared" si="1"/>
        <v/>
      </c>
      <c r="DS6" s="69" t="str">
        <f t="shared" si="1"/>
        <v/>
      </c>
      <c r="DT6" s="69" t="str">
        <f t="shared" si="1"/>
        <v/>
      </c>
      <c r="DU6" s="69" t="str">
        <f t="shared" si="1"/>
        <v/>
      </c>
      <c r="DV6" s="69" t="str">
        <f t="shared" si="1"/>
        <v/>
      </c>
      <c r="DW6" s="69" t="str">
        <f t="shared" si="1"/>
        <v/>
      </c>
      <c r="DX6" s="69" t="str">
        <f t="shared" si="1"/>
        <v/>
      </c>
      <c r="DY6" s="69" t="str">
        <f t="shared" si="1"/>
        <v/>
      </c>
      <c r="DZ6" s="69" t="str">
        <f t="shared" si="1"/>
        <v/>
      </c>
      <c r="EA6" s="69" t="str">
        <f t="shared" si="1"/>
        <v/>
      </c>
      <c r="EB6" s="69" t="str">
        <f t="shared" si="1"/>
        <v>9월</v>
      </c>
      <c r="EC6" s="69" t="str">
        <f t="shared" si="1"/>
        <v/>
      </c>
      <c r="ED6" s="69" t="str">
        <f t="shared" si="1"/>
        <v/>
      </c>
      <c r="EE6" s="69" t="str">
        <f t="shared" si="1"/>
        <v/>
      </c>
      <c r="EF6" s="69" t="str">
        <f t="shared" si="1"/>
        <v/>
      </c>
      <c r="EG6" s="69" t="str">
        <f t="shared" si="1"/>
        <v/>
      </c>
      <c r="EH6" s="69" t="str">
        <f t="shared" si="1"/>
        <v/>
      </c>
      <c r="EI6" s="69" t="str">
        <f t="shared" si="1"/>
        <v/>
      </c>
      <c r="EJ6" s="69" t="str">
        <f t="shared" ref="EJ6:GU6" si="2">IF(OR(EJ7=$L$7,DAY(EJ7)=1),TEXT(EJ7,"m월"),"")</f>
        <v/>
      </c>
      <c r="EK6" s="69" t="str">
        <f t="shared" si="2"/>
        <v/>
      </c>
      <c r="EL6" s="69" t="str">
        <f t="shared" si="2"/>
        <v/>
      </c>
      <c r="EM6" s="69" t="str">
        <f t="shared" si="2"/>
        <v/>
      </c>
      <c r="EN6" s="69" t="str">
        <f t="shared" si="2"/>
        <v/>
      </c>
      <c r="EO6" s="69" t="str">
        <f t="shared" si="2"/>
        <v/>
      </c>
      <c r="EP6" s="69" t="str">
        <f t="shared" si="2"/>
        <v/>
      </c>
      <c r="EQ6" s="69" t="str">
        <f t="shared" si="2"/>
        <v/>
      </c>
      <c r="ER6" s="69" t="str">
        <f t="shared" si="2"/>
        <v/>
      </c>
      <c r="ES6" s="69" t="str">
        <f t="shared" si="2"/>
        <v/>
      </c>
      <c r="ET6" s="69" t="str">
        <f t="shared" si="2"/>
        <v/>
      </c>
      <c r="EU6" s="69" t="str">
        <f t="shared" si="2"/>
        <v/>
      </c>
      <c r="EV6" s="69" t="str">
        <f t="shared" si="2"/>
        <v/>
      </c>
      <c r="EW6" s="69" t="str">
        <f t="shared" si="2"/>
        <v/>
      </c>
      <c r="EX6" s="69" t="str">
        <f t="shared" si="2"/>
        <v/>
      </c>
      <c r="EY6" s="69" t="str">
        <f t="shared" si="2"/>
        <v/>
      </c>
      <c r="EZ6" s="69" t="str">
        <f t="shared" si="2"/>
        <v/>
      </c>
      <c r="FA6" s="69" t="str">
        <f t="shared" si="2"/>
        <v/>
      </c>
      <c r="FB6" s="69" t="str">
        <f t="shared" si="2"/>
        <v/>
      </c>
      <c r="FC6" s="69" t="str">
        <f t="shared" si="2"/>
        <v/>
      </c>
      <c r="FD6" s="69" t="str">
        <f t="shared" si="2"/>
        <v/>
      </c>
      <c r="FE6" s="69" t="str">
        <f t="shared" si="2"/>
        <v/>
      </c>
      <c r="FF6" s="69" t="str">
        <f t="shared" si="2"/>
        <v>10월</v>
      </c>
      <c r="FG6" s="69" t="str">
        <f t="shared" si="2"/>
        <v/>
      </c>
      <c r="FH6" s="69" t="str">
        <f t="shared" si="2"/>
        <v/>
      </c>
      <c r="FI6" s="69" t="str">
        <f t="shared" si="2"/>
        <v/>
      </c>
      <c r="FJ6" s="69" t="str">
        <f t="shared" si="2"/>
        <v/>
      </c>
      <c r="FK6" s="69" t="str">
        <f t="shared" si="2"/>
        <v/>
      </c>
      <c r="FL6" s="69" t="str">
        <f t="shared" si="2"/>
        <v/>
      </c>
      <c r="FM6" s="69" t="str">
        <f t="shared" si="2"/>
        <v/>
      </c>
      <c r="FN6" s="69" t="str">
        <f t="shared" si="2"/>
        <v/>
      </c>
      <c r="FO6" s="69" t="str">
        <f t="shared" si="2"/>
        <v/>
      </c>
      <c r="FP6" s="69" t="str">
        <f t="shared" si="2"/>
        <v/>
      </c>
      <c r="FQ6" s="69" t="str">
        <f t="shared" si="2"/>
        <v/>
      </c>
      <c r="FR6" s="69" t="str">
        <f t="shared" si="2"/>
        <v/>
      </c>
      <c r="FS6" s="69" t="str">
        <f t="shared" si="2"/>
        <v/>
      </c>
      <c r="FT6" s="69" t="str">
        <f t="shared" si="2"/>
        <v/>
      </c>
      <c r="FU6" s="69" t="str">
        <f t="shared" si="2"/>
        <v/>
      </c>
      <c r="FV6" s="69" t="str">
        <f t="shared" si="2"/>
        <v/>
      </c>
      <c r="FW6" s="69" t="str">
        <f t="shared" si="2"/>
        <v/>
      </c>
      <c r="FX6" s="69" t="str">
        <f t="shared" si="2"/>
        <v/>
      </c>
      <c r="FY6" s="69" t="str">
        <f t="shared" si="2"/>
        <v/>
      </c>
      <c r="FZ6" s="69" t="str">
        <f t="shared" si="2"/>
        <v/>
      </c>
      <c r="GA6" s="69" t="str">
        <f t="shared" si="2"/>
        <v/>
      </c>
      <c r="GB6" s="69" t="str">
        <f t="shared" si="2"/>
        <v/>
      </c>
      <c r="GC6" s="69" t="str">
        <f t="shared" si="2"/>
        <v/>
      </c>
      <c r="GD6" s="69" t="str">
        <f t="shared" si="2"/>
        <v/>
      </c>
      <c r="GE6" s="69" t="str">
        <f t="shared" si="2"/>
        <v/>
      </c>
      <c r="GF6" s="69" t="str">
        <f t="shared" si="2"/>
        <v/>
      </c>
      <c r="GG6" s="69" t="str">
        <f t="shared" si="2"/>
        <v/>
      </c>
      <c r="GH6" s="69" t="str">
        <f t="shared" si="2"/>
        <v/>
      </c>
      <c r="GI6" s="69" t="str">
        <f t="shared" si="2"/>
        <v/>
      </c>
      <c r="GJ6" s="69" t="str">
        <f t="shared" si="2"/>
        <v/>
      </c>
      <c r="GK6" s="69" t="str">
        <f t="shared" si="2"/>
        <v>11월</v>
      </c>
      <c r="GL6" s="69" t="str">
        <f t="shared" si="2"/>
        <v/>
      </c>
      <c r="GM6" s="69" t="str">
        <f t="shared" si="2"/>
        <v/>
      </c>
      <c r="GN6" s="69" t="str">
        <f t="shared" si="2"/>
        <v/>
      </c>
      <c r="GO6" s="69" t="str">
        <f t="shared" si="2"/>
        <v/>
      </c>
      <c r="GP6" s="69" t="str">
        <f t="shared" si="2"/>
        <v/>
      </c>
      <c r="GQ6" s="69" t="str">
        <f t="shared" si="2"/>
        <v/>
      </c>
      <c r="GR6" s="69" t="str">
        <f t="shared" si="2"/>
        <v/>
      </c>
      <c r="GS6" s="69" t="str">
        <f t="shared" si="2"/>
        <v/>
      </c>
      <c r="GT6" s="69" t="str">
        <f t="shared" si="2"/>
        <v/>
      </c>
      <c r="GU6" s="69" t="str">
        <f t="shared" si="2"/>
        <v/>
      </c>
      <c r="GV6" s="69" t="str">
        <f t="shared" ref="GV6:HM6" si="3">IF(OR(GV7=$L$7,DAY(GV7)=1),TEXT(GV7,"m월"),"")</f>
        <v/>
      </c>
      <c r="GW6" s="69" t="str">
        <f t="shared" si="3"/>
        <v/>
      </c>
      <c r="GX6" s="69" t="str">
        <f t="shared" si="3"/>
        <v/>
      </c>
      <c r="GY6" s="69" t="str">
        <f t="shared" si="3"/>
        <v/>
      </c>
      <c r="GZ6" s="69" t="str">
        <f t="shared" si="3"/>
        <v/>
      </c>
      <c r="HA6" s="69" t="str">
        <f t="shared" si="3"/>
        <v/>
      </c>
      <c r="HB6" s="69" t="str">
        <f t="shared" si="3"/>
        <v/>
      </c>
      <c r="HC6" s="69" t="str">
        <f t="shared" si="3"/>
        <v/>
      </c>
      <c r="HD6" s="69" t="str">
        <f t="shared" si="3"/>
        <v/>
      </c>
      <c r="HE6" s="69" t="str">
        <f t="shared" si="3"/>
        <v/>
      </c>
      <c r="HF6" s="69" t="str">
        <f t="shared" si="3"/>
        <v/>
      </c>
      <c r="HG6" s="69" t="str">
        <f t="shared" si="3"/>
        <v/>
      </c>
      <c r="HH6" s="69" t="str">
        <f t="shared" si="3"/>
        <v/>
      </c>
      <c r="HI6" s="69" t="str">
        <f t="shared" si="3"/>
        <v/>
      </c>
      <c r="HJ6" s="69" t="str">
        <f t="shared" si="3"/>
        <v/>
      </c>
      <c r="HK6" s="69" t="str">
        <f t="shared" si="3"/>
        <v/>
      </c>
      <c r="HL6" s="69" t="str">
        <f t="shared" si="3"/>
        <v/>
      </c>
      <c r="HM6" s="69" t="str">
        <f t="shared" si="3"/>
        <v/>
      </c>
    </row>
    <row r="7" spans="1:221">
      <c r="L7" s="70">
        <f>DATE(2026,5,4)</f>
        <v>46146</v>
      </c>
      <c r="M7" s="70">
        <f t="shared" ref="M7:BX7" si="4">L7+1</f>
        <v>46147</v>
      </c>
      <c r="N7" s="70">
        <f t="shared" si="4"/>
        <v>46148</v>
      </c>
      <c r="O7" s="70">
        <f t="shared" si="4"/>
        <v>46149</v>
      </c>
      <c r="P7" s="70">
        <f t="shared" si="4"/>
        <v>46150</v>
      </c>
      <c r="Q7" s="70">
        <f t="shared" si="4"/>
        <v>46151</v>
      </c>
      <c r="R7" s="70">
        <f t="shared" si="4"/>
        <v>46152</v>
      </c>
      <c r="S7" s="70">
        <f t="shared" si="4"/>
        <v>46153</v>
      </c>
      <c r="T7" s="70">
        <f t="shared" si="4"/>
        <v>46154</v>
      </c>
      <c r="U7" s="70">
        <f t="shared" si="4"/>
        <v>46155</v>
      </c>
      <c r="V7" s="70">
        <f t="shared" si="4"/>
        <v>46156</v>
      </c>
      <c r="W7" s="70">
        <f t="shared" si="4"/>
        <v>46157</v>
      </c>
      <c r="X7" s="70">
        <f t="shared" si="4"/>
        <v>46158</v>
      </c>
      <c r="Y7" s="70">
        <f t="shared" si="4"/>
        <v>46159</v>
      </c>
      <c r="Z7" s="70">
        <f t="shared" si="4"/>
        <v>46160</v>
      </c>
      <c r="AA7" s="70">
        <f t="shared" si="4"/>
        <v>46161</v>
      </c>
      <c r="AB7" s="70">
        <f t="shared" si="4"/>
        <v>46162</v>
      </c>
      <c r="AC7" s="70">
        <f t="shared" si="4"/>
        <v>46163</v>
      </c>
      <c r="AD7" s="70">
        <f t="shared" si="4"/>
        <v>46164</v>
      </c>
      <c r="AE7" s="70">
        <f t="shared" si="4"/>
        <v>46165</v>
      </c>
      <c r="AF7" s="70">
        <f t="shared" si="4"/>
        <v>46166</v>
      </c>
      <c r="AG7" s="70">
        <f t="shared" si="4"/>
        <v>46167</v>
      </c>
      <c r="AH7" s="70">
        <f t="shared" si="4"/>
        <v>46168</v>
      </c>
      <c r="AI7" s="70">
        <f t="shared" si="4"/>
        <v>46169</v>
      </c>
      <c r="AJ7" s="70">
        <f t="shared" si="4"/>
        <v>46170</v>
      </c>
      <c r="AK7" s="70">
        <f t="shared" si="4"/>
        <v>46171</v>
      </c>
      <c r="AL7" s="70">
        <f t="shared" si="4"/>
        <v>46172</v>
      </c>
      <c r="AM7" s="70">
        <f t="shared" si="4"/>
        <v>46173</v>
      </c>
      <c r="AN7" s="70">
        <f t="shared" si="4"/>
        <v>46174</v>
      </c>
      <c r="AO7" s="70">
        <f t="shared" si="4"/>
        <v>46175</v>
      </c>
      <c r="AP7" s="70">
        <f t="shared" si="4"/>
        <v>46176</v>
      </c>
      <c r="AQ7" s="70">
        <f t="shared" si="4"/>
        <v>46177</v>
      </c>
      <c r="AR7" s="70">
        <f t="shared" si="4"/>
        <v>46178</v>
      </c>
      <c r="AS7" s="70">
        <f t="shared" si="4"/>
        <v>46179</v>
      </c>
      <c r="AT7" s="70">
        <f t="shared" si="4"/>
        <v>46180</v>
      </c>
      <c r="AU7" s="70">
        <f t="shared" si="4"/>
        <v>46181</v>
      </c>
      <c r="AV7" s="70">
        <f t="shared" si="4"/>
        <v>46182</v>
      </c>
      <c r="AW7" s="70">
        <f t="shared" si="4"/>
        <v>46183</v>
      </c>
      <c r="AX7" s="70">
        <f t="shared" si="4"/>
        <v>46184</v>
      </c>
      <c r="AY7" s="70">
        <f t="shared" si="4"/>
        <v>46185</v>
      </c>
      <c r="AZ7" s="70">
        <f t="shared" si="4"/>
        <v>46186</v>
      </c>
      <c r="BA7" s="70">
        <f t="shared" si="4"/>
        <v>46187</v>
      </c>
      <c r="BB7" s="70">
        <f t="shared" si="4"/>
        <v>46188</v>
      </c>
      <c r="BC7" s="70">
        <f t="shared" si="4"/>
        <v>46189</v>
      </c>
      <c r="BD7" s="70">
        <f t="shared" si="4"/>
        <v>46190</v>
      </c>
      <c r="BE7" s="70">
        <f t="shared" si="4"/>
        <v>46191</v>
      </c>
      <c r="BF7" s="70">
        <f t="shared" si="4"/>
        <v>46192</v>
      </c>
      <c r="BG7" s="70">
        <f t="shared" si="4"/>
        <v>46193</v>
      </c>
      <c r="BH7" s="70">
        <f t="shared" si="4"/>
        <v>46194</v>
      </c>
      <c r="BI7" s="70">
        <f t="shared" si="4"/>
        <v>46195</v>
      </c>
      <c r="BJ7" s="70">
        <f t="shared" si="4"/>
        <v>46196</v>
      </c>
      <c r="BK7" s="70">
        <f t="shared" si="4"/>
        <v>46197</v>
      </c>
      <c r="BL7" s="70">
        <f t="shared" si="4"/>
        <v>46198</v>
      </c>
      <c r="BM7" s="70">
        <f t="shared" si="4"/>
        <v>46199</v>
      </c>
      <c r="BN7" s="70">
        <f t="shared" si="4"/>
        <v>46200</v>
      </c>
      <c r="BO7" s="70">
        <f t="shared" si="4"/>
        <v>46201</v>
      </c>
      <c r="BP7" s="70">
        <f t="shared" si="4"/>
        <v>46202</v>
      </c>
      <c r="BQ7" s="70">
        <f t="shared" si="4"/>
        <v>46203</v>
      </c>
      <c r="BR7" s="70">
        <f t="shared" si="4"/>
        <v>46204</v>
      </c>
      <c r="BS7" s="70">
        <f t="shared" si="4"/>
        <v>46205</v>
      </c>
      <c r="BT7" s="70">
        <f t="shared" si="4"/>
        <v>46206</v>
      </c>
      <c r="BU7" s="70">
        <f t="shared" si="4"/>
        <v>46207</v>
      </c>
      <c r="BV7" s="70">
        <f t="shared" si="4"/>
        <v>46208</v>
      </c>
      <c r="BW7" s="70">
        <f t="shared" si="4"/>
        <v>46209</v>
      </c>
      <c r="BX7" s="70">
        <f t="shared" si="4"/>
        <v>46210</v>
      </c>
      <c r="BY7" s="70">
        <f t="shared" ref="BY7:EJ7" si="5">BX7+1</f>
        <v>46211</v>
      </c>
      <c r="BZ7" s="70">
        <f t="shared" si="5"/>
        <v>46212</v>
      </c>
      <c r="CA7" s="70">
        <f t="shared" si="5"/>
        <v>46213</v>
      </c>
      <c r="CB7" s="70">
        <f t="shared" si="5"/>
        <v>46214</v>
      </c>
      <c r="CC7" s="70">
        <f t="shared" si="5"/>
        <v>46215</v>
      </c>
      <c r="CD7" s="70">
        <f t="shared" si="5"/>
        <v>46216</v>
      </c>
      <c r="CE7" s="70">
        <f t="shared" si="5"/>
        <v>46217</v>
      </c>
      <c r="CF7" s="70">
        <f t="shared" si="5"/>
        <v>46218</v>
      </c>
      <c r="CG7" s="70">
        <f t="shared" si="5"/>
        <v>46219</v>
      </c>
      <c r="CH7" s="70">
        <f t="shared" si="5"/>
        <v>46220</v>
      </c>
      <c r="CI7" s="70">
        <f t="shared" si="5"/>
        <v>46221</v>
      </c>
      <c r="CJ7" s="70">
        <f t="shared" si="5"/>
        <v>46222</v>
      </c>
      <c r="CK7" s="70">
        <f t="shared" si="5"/>
        <v>46223</v>
      </c>
      <c r="CL7" s="70">
        <f t="shared" si="5"/>
        <v>46224</v>
      </c>
      <c r="CM7" s="70">
        <f t="shared" si="5"/>
        <v>46225</v>
      </c>
      <c r="CN7" s="70">
        <f t="shared" si="5"/>
        <v>46226</v>
      </c>
      <c r="CO7" s="70">
        <f t="shared" si="5"/>
        <v>46227</v>
      </c>
      <c r="CP7" s="70">
        <f t="shared" si="5"/>
        <v>46228</v>
      </c>
      <c r="CQ7" s="70">
        <f t="shared" si="5"/>
        <v>46229</v>
      </c>
      <c r="CR7" s="70">
        <f t="shared" si="5"/>
        <v>46230</v>
      </c>
      <c r="CS7" s="70">
        <f t="shared" si="5"/>
        <v>46231</v>
      </c>
      <c r="CT7" s="70">
        <f t="shared" si="5"/>
        <v>46232</v>
      </c>
      <c r="CU7" s="70">
        <f t="shared" si="5"/>
        <v>46233</v>
      </c>
      <c r="CV7" s="70">
        <f t="shared" si="5"/>
        <v>46234</v>
      </c>
      <c r="CW7" s="70">
        <f t="shared" si="5"/>
        <v>46235</v>
      </c>
      <c r="CX7" s="70">
        <f t="shared" si="5"/>
        <v>46236</v>
      </c>
      <c r="CY7" s="70">
        <f t="shared" si="5"/>
        <v>46237</v>
      </c>
      <c r="CZ7" s="70">
        <f t="shared" si="5"/>
        <v>46238</v>
      </c>
      <c r="DA7" s="70">
        <f t="shared" si="5"/>
        <v>46239</v>
      </c>
      <c r="DB7" s="70">
        <f t="shared" si="5"/>
        <v>46240</v>
      </c>
      <c r="DC7" s="70">
        <f t="shared" si="5"/>
        <v>46241</v>
      </c>
      <c r="DD7" s="70">
        <f t="shared" si="5"/>
        <v>46242</v>
      </c>
      <c r="DE7" s="70">
        <f t="shared" si="5"/>
        <v>46243</v>
      </c>
      <c r="DF7" s="70">
        <f t="shared" si="5"/>
        <v>46244</v>
      </c>
      <c r="DG7" s="70">
        <f t="shared" si="5"/>
        <v>46245</v>
      </c>
      <c r="DH7" s="70">
        <f t="shared" si="5"/>
        <v>46246</v>
      </c>
      <c r="DI7" s="70">
        <f t="shared" si="5"/>
        <v>46247</v>
      </c>
      <c r="DJ7" s="70">
        <f t="shared" si="5"/>
        <v>46248</v>
      </c>
      <c r="DK7" s="70">
        <f t="shared" si="5"/>
        <v>46249</v>
      </c>
      <c r="DL7" s="70">
        <f t="shared" si="5"/>
        <v>46250</v>
      </c>
      <c r="DM7" s="70">
        <f t="shared" si="5"/>
        <v>46251</v>
      </c>
      <c r="DN7" s="70">
        <f t="shared" si="5"/>
        <v>46252</v>
      </c>
      <c r="DO7" s="70">
        <f t="shared" si="5"/>
        <v>46253</v>
      </c>
      <c r="DP7" s="70">
        <f t="shared" si="5"/>
        <v>46254</v>
      </c>
      <c r="DQ7" s="70">
        <f t="shared" si="5"/>
        <v>46255</v>
      </c>
      <c r="DR7" s="70">
        <f t="shared" si="5"/>
        <v>46256</v>
      </c>
      <c r="DS7" s="70">
        <f t="shared" si="5"/>
        <v>46257</v>
      </c>
      <c r="DT7" s="70">
        <f t="shared" si="5"/>
        <v>46258</v>
      </c>
      <c r="DU7" s="70">
        <f t="shared" si="5"/>
        <v>46259</v>
      </c>
      <c r="DV7" s="70">
        <f t="shared" si="5"/>
        <v>46260</v>
      </c>
      <c r="DW7" s="70">
        <f t="shared" si="5"/>
        <v>46261</v>
      </c>
      <c r="DX7" s="70">
        <f t="shared" si="5"/>
        <v>46262</v>
      </c>
      <c r="DY7" s="70">
        <f t="shared" si="5"/>
        <v>46263</v>
      </c>
      <c r="DZ7" s="70">
        <f t="shared" si="5"/>
        <v>46264</v>
      </c>
      <c r="EA7" s="70">
        <f t="shared" si="5"/>
        <v>46265</v>
      </c>
      <c r="EB7" s="70">
        <f t="shared" si="5"/>
        <v>46266</v>
      </c>
      <c r="EC7" s="70">
        <f t="shared" si="5"/>
        <v>46267</v>
      </c>
      <c r="ED7" s="70">
        <f t="shared" si="5"/>
        <v>46268</v>
      </c>
      <c r="EE7" s="70">
        <f t="shared" si="5"/>
        <v>46269</v>
      </c>
      <c r="EF7" s="70">
        <f t="shared" si="5"/>
        <v>46270</v>
      </c>
      <c r="EG7" s="70">
        <f t="shared" si="5"/>
        <v>46271</v>
      </c>
      <c r="EH7" s="70">
        <f t="shared" si="5"/>
        <v>46272</v>
      </c>
      <c r="EI7" s="70">
        <f t="shared" si="5"/>
        <v>46273</v>
      </c>
      <c r="EJ7" s="70">
        <f t="shared" si="5"/>
        <v>46274</v>
      </c>
      <c r="EK7" s="70">
        <f t="shared" ref="EK7:GV7" si="6">EJ7+1</f>
        <v>46275</v>
      </c>
      <c r="EL7" s="70">
        <f t="shared" si="6"/>
        <v>46276</v>
      </c>
      <c r="EM7" s="70">
        <f t="shared" si="6"/>
        <v>46277</v>
      </c>
      <c r="EN7" s="70">
        <f t="shared" si="6"/>
        <v>46278</v>
      </c>
      <c r="EO7" s="70">
        <f t="shared" si="6"/>
        <v>46279</v>
      </c>
      <c r="EP7" s="70">
        <f t="shared" si="6"/>
        <v>46280</v>
      </c>
      <c r="EQ7" s="70">
        <f t="shared" si="6"/>
        <v>46281</v>
      </c>
      <c r="ER7" s="70">
        <f t="shared" si="6"/>
        <v>46282</v>
      </c>
      <c r="ES7" s="70">
        <f t="shared" si="6"/>
        <v>46283</v>
      </c>
      <c r="ET7" s="70">
        <f t="shared" si="6"/>
        <v>46284</v>
      </c>
      <c r="EU7" s="70">
        <f t="shared" si="6"/>
        <v>46285</v>
      </c>
      <c r="EV7" s="70">
        <f t="shared" si="6"/>
        <v>46286</v>
      </c>
      <c r="EW7" s="70">
        <f t="shared" si="6"/>
        <v>46287</v>
      </c>
      <c r="EX7" s="70">
        <f t="shared" si="6"/>
        <v>46288</v>
      </c>
      <c r="EY7" s="70">
        <f t="shared" si="6"/>
        <v>46289</v>
      </c>
      <c r="EZ7" s="70">
        <f t="shared" si="6"/>
        <v>46290</v>
      </c>
      <c r="FA7" s="70">
        <f t="shared" si="6"/>
        <v>46291</v>
      </c>
      <c r="FB7" s="70">
        <f t="shared" si="6"/>
        <v>46292</v>
      </c>
      <c r="FC7" s="70">
        <f t="shared" si="6"/>
        <v>46293</v>
      </c>
      <c r="FD7" s="70">
        <f t="shared" si="6"/>
        <v>46294</v>
      </c>
      <c r="FE7" s="70">
        <f t="shared" si="6"/>
        <v>46295</v>
      </c>
      <c r="FF7" s="70">
        <f t="shared" si="6"/>
        <v>46296</v>
      </c>
      <c r="FG7" s="70">
        <f t="shared" si="6"/>
        <v>46297</v>
      </c>
      <c r="FH7" s="70">
        <f t="shared" si="6"/>
        <v>46298</v>
      </c>
      <c r="FI7" s="70">
        <f t="shared" si="6"/>
        <v>46299</v>
      </c>
      <c r="FJ7" s="70">
        <f t="shared" si="6"/>
        <v>46300</v>
      </c>
      <c r="FK7" s="70">
        <f t="shared" si="6"/>
        <v>46301</v>
      </c>
      <c r="FL7" s="70">
        <f t="shared" si="6"/>
        <v>46302</v>
      </c>
      <c r="FM7" s="70">
        <f t="shared" si="6"/>
        <v>46303</v>
      </c>
      <c r="FN7" s="70">
        <f t="shared" si="6"/>
        <v>46304</v>
      </c>
      <c r="FO7" s="70">
        <f t="shared" si="6"/>
        <v>46305</v>
      </c>
      <c r="FP7" s="70">
        <f t="shared" si="6"/>
        <v>46306</v>
      </c>
      <c r="FQ7" s="70">
        <f t="shared" si="6"/>
        <v>46307</v>
      </c>
      <c r="FR7" s="70">
        <f t="shared" si="6"/>
        <v>46308</v>
      </c>
      <c r="FS7" s="70">
        <f t="shared" si="6"/>
        <v>46309</v>
      </c>
      <c r="FT7" s="70">
        <f t="shared" si="6"/>
        <v>46310</v>
      </c>
      <c r="FU7" s="70">
        <f t="shared" si="6"/>
        <v>46311</v>
      </c>
      <c r="FV7" s="70">
        <f t="shared" si="6"/>
        <v>46312</v>
      </c>
      <c r="FW7" s="70">
        <f t="shared" si="6"/>
        <v>46313</v>
      </c>
      <c r="FX7" s="70">
        <f t="shared" si="6"/>
        <v>46314</v>
      </c>
      <c r="FY7" s="70">
        <f t="shared" si="6"/>
        <v>46315</v>
      </c>
      <c r="FZ7" s="70">
        <f t="shared" si="6"/>
        <v>46316</v>
      </c>
      <c r="GA7" s="70">
        <f t="shared" si="6"/>
        <v>46317</v>
      </c>
      <c r="GB7" s="70">
        <f t="shared" si="6"/>
        <v>46318</v>
      </c>
      <c r="GC7" s="70">
        <f t="shared" si="6"/>
        <v>46319</v>
      </c>
      <c r="GD7" s="70">
        <f t="shared" si="6"/>
        <v>46320</v>
      </c>
      <c r="GE7" s="70">
        <f t="shared" si="6"/>
        <v>46321</v>
      </c>
      <c r="GF7" s="70">
        <f t="shared" si="6"/>
        <v>46322</v>
      </c>
      <c r="GG7" s="70">
        <f t="shared" si="6"/>
        <v>46323</v>
      </c>
      <c r="GH7" s="70">
        <f t="shared" si="6"/>
        <v>46324</v>
      </c>
      <c r="GI7" s="70">
        <f t="shared" si="6"/>
        <v>46325</v>
      </c>
      <c r="GJ7" s="70">
        <f t="shared" si="6"/>
        <v>46326</v>
      </c>
      <c r="GK7" s="70">
        <f t="shared" si="6"/>
        <v>46327</v>
      </c>
      <c r="GL7" s="70">
        <f t="shared" si="6"/>
        <v>46328</v>
      </c>
      <c r="GM7" s="70">
        <f t="shared" si="6"/>
        <v>46329</v>
      </c>
      <c r="GN7" s="70">
        <f t="shared" si="6"/>
        <v>46330</v>
      </c>
      <c r="GO7" s="70">
        <f t="shared" si="6"/>
        <v>46331</v>
      </c>
      <c r="GP7" s="70">
        <f t="shared" si="6"/>
        <v>46332</v>
      </c>
      <c r="GQ7" s="70">
        <f t="shared" si="6"/>
        <v>46333</v>
      </c>
      <c r="GR7" s="70">
        <f t="shared" si="6"/>
        <v>46334</v>
      </c>
      <c r="GS7" s="70">
        <f t="shared" si="6"/>
        <v>46335</v>
      </c>
      <c r="GT7" s="70">
        <f t="shared" si="6"/>
        <v>46336</v>
      </c>
      <c r="GU7" s="70">
        <f t="shared" si="6"/>
        <v>46337</v>
      </c>
      <c r="GV7" s="70">
        <f t="shared" si="6"/>
        <v>46338</v>
      </c>
      <c r="GW7" s="70">
        <f t="shared" ref="GW7:HM7" si="7">GV7+1</f>
        <v>46339</v>
      </c>
      <c r="GX7" s="70">
        <f t="shared" si="7"/>
        <v>46340</v>
      </c>
      <c r="GY7" s="70">
        <f t="shared" si="7"/>
        <v>46341</v>
      </c>
      <c r="GZ7" s="70">
        <f t="shared" si="7"/>
        <v>46342</v>
      </c>
      <c r="HA7" s="70">
        <f t="shared" si="7"/>
        <v>46343</v>
      </c>
      <c r="HB7" s="70">
        <f t="shared" si="7"/>
        <v>46344</v>
      </c>
      <c r="HC7" s="70">
        <f t="shared" si="7"/>
        <v>46345</v>
      </c>
      <c r="HD7" s="70">
        <f t="shared" si="7"/>
        <v>46346</v>
      </c>
      <c r="HE7" s="70">
        <f t="shared" si="7"/>
        <v>46347</v>
      </c>
      <c r="HF7" s="70">
        <f t="shared" si="7"/>
        <v>46348</v>
      </c>
      <c r="HG7" s="70">
        <f t="shared" si="7"/>
        <v>46349</v>
      </c>
      <c r="HH7" s="70">
        <f t="shared" si="7"/>
        <v>46350</v>
      </c>
      <c r="HI7" s="70">
        <f t="shared" si="7"/>
        <v>46351</v>
      </c>
      <c r="HJ7" s="70">
        <f t="shared" si="7"/>
        <v>46352</v>
      </c>
      <c r="HK7" s="70">
        <f t="shared" si="7"/>
        <v>46353</v>
      </c>
      <c r="HL7" s="70">
        <f t="shared" si="7"/>
        <v>46354</v>
      </c>
      <c r="HM7" s="70">
        <f t="shared" si="7"/>
        <v>46355</v>
      </c>
    </row>
    <row r="8" spans="1:221">
      <c r="A8" s="82" t="s">
        <v>0</v>
      </c>
      <c r="B8" s="82" t="s">
        <v>370</v>
      </c>
      <c r="C8" s="82" t="s">
        <v>371</v>
      </c>
      <c r="D8" s="82" t="s">
        <v>65</v>
      </c>
      <c r="E8" s="82" t="s">
        <v>271</v>
      </c>
      <c r="F8" s="82" t="s">
        <v>272</v>
      </c>
      <c r="G8" s="82" t="s">
        <v>243</v>
      </c>
      <c r="H8" s="82" t="s">
        <v>270</v>
      </c>
      <c r="I8" s="82" t="s">
        <v>398</v>
      </c>
      <c r="J8" s="82" t="s">
        <v>399</v>
      </c>
      <c r="L8" s="71" t="str">
        <f t="shared" ref="L8:BW8" si="8">TEXT(L$7,"aaa")</f>
        <v>월</v>
      </c>
      <c r="M8" s="71" t="str">
        <f t="shared" si="8"/>
        <v>화</v>
      </c>
      <c r="N8" s="71" t="str">
        <f t="shared" si="8"/>
        <v>수</v>
      </c>
      <c r="O8" s="71" t="str">
        <f t="shared" si="8"/>
        <v>목</v>
      </c>
      <c r="P8" s="71" t="str">
        <f t="shared" si="8"/>
        <v>금</v>
      </c>
      <c r="Q8" s="71" t="str">
        <f t="shared" si="8"/>
        <v>토</v>
      </c>
      <c r="R8" s="71" t="str">
        <f t="shared" si="8"/>
        <v>일</v>
      </c>
      <c r="S8" s="71" t="str">
        <f t="shared" si="8"/>
        <v>월</v>
      </c>
      <c r="T8" s="71" t="str">
        <f t="shared" si="8"/>
        <v>화</v>
      </c>
      <c r="U8" s="71" t="str">
        <f t="shared" si="8"/>
        <v>수</v>
      </c>
      <c r="V8" s="71" t="str">
        <f t="shared" si="8"/>
        <v>목</v>
      </c>
      <c r="W8" s="71" t="str">
        <f t="shared" si="8"/>
        <v>금</v>
      </c>
      <c r="X8" s="71" t="str">
        <f t="shared" si="8"/>
        <v>토</v>
      </c>
      <c r="Y8" s="71" t="str">
        <f t="shared" si="8"/>
        <v>일</v>
      </c>
      <c r="Z8" s="71" t="str">
        <f t="shared" si="8"/>
        <v>월</v>
      </c>
      <c r="AA8" s="71" t="str">
        <f t="shared" si="8"/>
        <v>화</v>
      </c>
      <c r="AB8" s="71" t="str">
        <f t="shared" si="8"/>
        <v>수</v>
      </c>
      <c r="AC8" s="71" t="str">
        <f t="shared" si="8"/>
        <v>목</v>
      </c>
      <c r="AD8" s="71" t="str">
        <f t="shared" si="8"/>
        <v>금</v>
      </c>
      <c r="AE8" s="71" t="str">
        <f t="shared" si="8"/>
        <v>토</v>
      </c>
      <c r="AF8" s="71" t="str">
        <f t="shared" si="8"/>
        <v>일</v>
      </c>
      <c r="AG8" s="71" t="str">
        <f t="shared" si="8"/>
        <v>월</v>
      </c>
      <c r="AH8" s="71" t="str">
        <f t="shared" si="8"/>
        <v>화</v>
      </c>
      <c r="AI8" s="71" t="str">
        <f t="shared" si="8"/>
        <v>수</v>
      </c>
      <c r="AJ8" s="71" t="str">
        <f t="shared" si="8"/>
        <v>목</v>
      </c>
      <c r="AK8" s="71" t="str">
        <f t="shared" si="8"/>
        <v>금</v>
      </c>
      <c r="AL8" s="71" t="str">
        <f t="shared" si="8"/>
        <v>토</v>
      </c>
      <c r="AM8" s="71" t="str">
        <f t="shared" si="8"/>
        <v>일</v>
      </c>
      <c r="AN8" s="71" t="str">
        <f t="shared" si="8"/>
        <v>월</v>
      </c>
      <c r="AO8" s="71" t="str">
        <f t="shared" si="8"/>
        <v>화</v>
      </c>
      <c r="AP8" s="71" t="str">
        <f t="shared" si="8"/>
        <v>수</v>
      </c>
      <c r="AQ8" s="71" t="str">
        <f t="shared" si="8"/>
        <v>목</v>
      </c>
      <c r="AR8" s="71" t="str">
        <f t="shared" si="8"/>
        <v>금</v>
      </c>
      <c r="AS8" s="71" t="str">
        <f t="shared" si="8"/>
        <v>토</v>
      </c>
      <c r="AT8" s="71" t="str">
        <f t="shared" si="8"/>
        <v>일</v>
      </c>
      <c r="AU8" s="71" t="str">
        <f t="shared" si="8"/>
        <v>월</v>
      </c>
      <c r="AV8" s="71" t="str">
        <f t="shared" si="8"/>
        <v>화</v>
      </c>
      <c r="AW8" s="71" t="str">
        <f t="shared" si="8"/>
        <v>수</v>
      </c>
      <c r="AX8" s="71" t="str">
        <f t="shared" si="8"/>
        <v>목</v>
      </c>
      <c r="AY8" s="71" t="str">
        <f t="shared" si="8"/>
        <v>금</v>
      </c>
      <c r="AZ8" s="71" t="str">
        <f t="shared" si="8"/>
        <v>토</v>
      </c>
      <c r="BA8" s="71" t="str">
        <f t="shared" si="8"/>
        <v>일</v>
      </c>
      <c r="BB8" s="71" t="str">
        <f t="shared" si="8"/>
        <v>월</v>
      </c>
      <c r="BC8" s="71" t="str">
        <f t="shared" si="8"/>
        <v>화</v>
      </c>
      <c r="BD8" s="71" t="str">
        <f t="shared" si="8"/>
        <v>수</v>
      </c>
      <c r="BE8" s="71" t="str">
        <f t="shared" si="8"/>
        <v>목</v>
      </c>
      <c r="BF8" s="71" t="str">
        <f t="shared" si="8"/>
        <v>금</v>
      </c>
      <c r="BG8" s="71" t="str">
        <f t="shared" si="8"/>
        <v>토</v>
      </c>
      <c r="BH8" s="71" t="str">
        <f t="shared" si="8"/>
        <v>일</v>
      </c>
      <c r="BI8" s="71" t="str">
        <f t="shared" si="8"/>
        <v>월</v>
      </c>
      <c r="BJ8" s="71" t="str">
        <f t="shared" si="8"/>
        <v>화</v>
      </c>
      <c r="BK8" s="71" t="str">
        <f t="shared" si="8"/>
        <v>수</v>
      </c>
      <c r="BL8" s="71" t="str">
        <f t="shared" si="8"/>
        <v>목</v>
      </c>
      <c r="BM8" s="71" t="str">
        <f t="shared" si="8"/>
        <v>금</v>
      </c>
      <c r="BN8" s="71" t="str">
        <f t="shared" si="8"/>
        <v>토</v>
      </c>
      <c r="BO8" s="71" t="str">
        <f t="shared" si="8"/>
        <v>일</v>
      </c>
      <c r="BP8" s="71" t="str">
        <f t="shared" si="8"/>
        <v>월</v>
      </c>
      <c r="BQ8" s="71" t="str">
        <f t="shared" si="8"/>
        <v>화</v>
      </c>
      <c r="BR8" s="71" t="str">
        <f t="shared" si="8"/>
        <v>수</v>
      </c>
      <c r="BS8" s="71" t="str">
        <f t="shared" si="8"/>
        <v>목</v>
      </c>
      <c r="BT8" s="71" t="str">
        <f t="shared" si="8"/>
        <v>금</v>
      </c>
      <c r="BU8" s="71" t="str">
        <f t="shared" si="8"/>
        <v>토</v>
      </c>
      <c r="BV8" s="71" t="str">
        <f t="shared" si="8"/>
        <v>일</v>
      </c>
      <c r="BW8" s="71" t="str">
        <f t="shared" si="8"/>
        <v>월</v>
      </c>
      <c r="BX8" s="71" t="str">
        <f t="shared" ref="BX8:EI8" si="9">TEXT(BX$7,"aaa")</f>
        <v>화</v>
      </c>
      <c r="BY8" s="71" t="str">
        <f t="shared" si="9"/>
        <v>수</v>
      </c>
      <c r="BZ8" s="71" t="str">
        <f t="shared" si="9"/>
        <v>목</v>
      </c>
      <c r="CA8" s="71" t="str">
        <f t="shared" si="9"/>
        <v>금</v>
      </c>
      <c r="CB8" s="71" t="str">
        <f t="shared" si="9"/>
        <v>토</v>
      </c>
      <c r="CC8" s="71" t="str">
        <f t="shared" si="9"/>
        <v>일</v>
      </c>
      <c r="CD8" s="71" t="str">
        <f t="shared" si="9"/>
        <v>월</v>
      </c>
      <c r="CE8" s="71" t="str">
        <f t="shared" si="9"/>
        <v>화</v>
      </c>
      <c r="CF8" s="71" t="str">
        <f t="shared" si="9"/>
        <v>수</v>
      </c>
      <c r="CG8" s="71" t="str">
        <f t="shared" si="9"/>
        <v>목</v>
      </c>
      <c r="CH8" s="71" t="str">
        <f t="shared" si="9"/>
        <v>금</v>
      </c>
      <c r="CI8" s="71" t="str">
        <f t="shared" si="9"/>
        <v>토</v>
      </c>
      <c r="CJ8" s="71" t="str">
        <f t="shared" si="9"/>
        <v>일</v>
      </c>
      <c r="CK8" s="71" t="str">
        <f t="shared" si="9"/>
        <v>월</v>
      </c>
      <c r="CL8" s="71" t="str">
        <f t="shared" si="9"/>
        <v>화</v>
      </c>
      <c r="CM8" s="71" t="str">
        <f t="shared" si="9"/>
        <v>수</v>
      </c>
      <c r="CN8" s="71" t="str">
        <f t="shared" si="9"/>
        <v>목</v>
      </c>
      <c r="CO8" s="71" t="str">
        <f t="shared" si="9"/>
        <v>금</v>
      </c>
      <c r="CP8" s="71" t="str">
        <f t="shared" si="9"/>
        <v>토</v>
      </c>
      <c r="CQ8" s="71" t="str">
        <f t="shared" si="9"/>
        <v>일</v>
      </c>
      <c r="CR8" s="71" t="str">
        <f t="shared" si="9"/>
        <v>월</v>
      </c>
      <c r="CS8" s="71" t="str">
        <f t="shared" si="9"/>
        <v>화</v>
      </c>
      <c r="CT8" s="71" t="str">
        <f t="shared" si="9"/>
        <v>수</v>
      </c>
      <c r="CU8" s="71" t="str">
        <f t="shared" si="9"/>
        <v>목</v>
      </c>
      <c r="CV8" s="71" t="str">
        <f t="shared" si="9"/>
        <v>금</v>
      </c>
      <c r="CW8" s="71" t="str">
        <f t="shared" si="9"/>
        <v>토</v>
      </c>
      <c r="CX8" s="71" t="str">
        <f t="shared" si="9"/>
        <v>일</v>
      </c>
      <c r="CY8" s="71" t="str">
        <f t="shared" si="9"/>
        <v>월</v>
      </c>
      <c r="CZ8" s="71" t="str">
        <f t="shared" si="9"/>
        <v>화</v>
      </c>
      <c r="DA8" s="71" t="str">
        <f t="shared" si="9"/>
        <v>수</v>
      </c>
      <c r="DB8" s="71" t="str">
        <f t="shared" si="9"/>
        <v>목</v>
      </c>
      <c r="DC8" s="71" t="str">
        <f t="shared" si="9"/>
        <v>금</v>
      </c>
      <c r="DD8" s="71" t="str">
        <f t="shared" si="9"/>
        <v>토</v>
      </c>
      <c r="DE8" s="71" t="str">
        <f t="shared" si="9"/>
        <v>일</v>
      </c>
      <c r="DF8" s="71" t="str">
        <f t="shared" si="9"/>
        <v>월</v>
      </c>
      <c r="DG8" s="71" t="str">
        <f t="shared" si="9"/>
        <v>화</v>
      </c>
      <c r="DH8" s="71" t="str">
        <f t="shared" si="9"/>
        <v>수</v>
      </c>
      <c r="DI8" s="71" t="str">
        <f t="shared" si="9"/>
        <v>목</v>
      </c>
      <c r="DJ8" s="71" t="str">
        <f t="shared" si="9"/>
        <v>금</v>
      </c>
      <c r="DK8" s="71" t="str">
        <f t="shared" si="9"/>
        <v>토</v>
      </c>
      <c r="DL8" s="71" t="str">
        <f t="shared" si="9"/>
        <v>일</v>
      </c>
      <c r="DM8" s="71" t="str">
        <f t="shared" si="9"/>
        <v>월</v>
      </c>
      <c r="DN8" s="71" t="str">
        <f t="shared" si="9"/>
        <v>화</v>
      </c>
      <c r="DO8" s="71" t="str">
        <f t="shared" si="9"/>
        <v>수</v>
      </c>
      <c r="DP8" s="71" t="str">
        <f t="shared" si="9"/>
        <v>목</v>
      </c>
      <c r="DQ8" s="71" t="str">
        <f t="shared" si="9"/>
        <v>금</v>
      </c>
      <c r="DR8" s="71" t="str">
        <f t="shared" si="9"/>
        <v>토</v>
      </c>
      <c r="DS8" s="71" t="str">
        <f t="shared" si="9"/>
        <v>일</v>
      </c>
      <c r="DT8" s="71" t="str">
        <f t="shared" si="9"/>
        <v>월</v>
      </c>
      <c r="DU8" s="71" t="str">
        <f t="shared" si="9"/>
        <v>화</v>
      </c>
      <c r="DV8" s="71" t="str">
        <f t="shared" si="9"/>
        <v>수</v>
      </c>
      <c r="DW8" s="71" t="str">
        <f t="shared" si="9"/>
        <v>목</v>
      </c>
      <c r="DX8" s="71" t="str">
        <f t="shared" si="9"/>
        <v>금</v>
      </c>
      <c r="DY8" s="71" t="str">
        <f t="shared" si="9"/>
        <v>토</v>
      </c>
      <c r="DZ8" s="71" t="str">
        <f t="shared" si="9"/>
        <v>일</v>
      </c>
      <c r="EA8" s="71" t="str">
        <f t="shared" si="9"/>
        <v>월</v>
      </c>
      <c r="EB8" s="71" t="str">
        <f t="shared" si="9"/>
        <v>화</v>
      </c>
      <c r="EC8" s="71" t="str">
        <f t="shared" si="9"/>
        <v>수</v>
      </c>
      <c r="ED8" s="71" t="str">
        <f t="shared" si="9"/>
        <v>목</v>
      </c>
      <c r="EE8" s="71" t="str">
        <f t="shared" si="9"/>
        <v>금</v>
      </c>
      <c r="EF8" s="71" t="str">
        <f t="shared" si="9"/>
        <v>토</v>
      </c>
      <c r="EG8" s="71" t="str">
        <f t="shared" si="9"/>
        <v>일</v>
      </c>
      <c r="EH8" s="71" t="str">
        <f t="shared" si="9"/>
        <v>월</v>
      </c>
      <c r="EI8" s="71" t="str">
        <f t="shared" si="9"/>
        <v>화</v>
      </c>
      <c r="EJ8" s="71" t="str">
        <f t="shared" ref="EJ8:GU8" si="10">TEXT(EJ$7,"aaa")</f>
        <v>수</v>
      </c>
      <c r="EK8" s="71" t="str">
        <f t="shared" si="10"/>
        <v>목</v>
      </c>
      <c r="EL8" s="71" t="str">
        <f t="shared" si="10"/>
        <v>금</v>
      </c>
      <c r="EM8" s="71" t="str">
        <f t="shared" si="10"/>
        <v>토</v>
      </c>
      <c r="EN8" s="71" t="str">
        <f t="shared" si="10"/>
        <v>일</v>
      </c>
      <c r="EO8" s="71" t="str">
        <f t="shared" si="10"/>
        <v>월</v>
      </c>
      <c r="EP8" s="71" t="str">
        <f t="shared" si="10"/>
        <v>화</v>
      </c>
      <c r="EQ8" s="71" t="str">
        <f t="shared" si="10"/>
        <v>수</v>
      </c>
      <c r="ER8" s="71" t="str">
        <f t="shared" si="10"/>
        <v>목</v>
      </c>
      <c r="ES8" s="71" t="str">
        <f t="shared" si="10"/>
        <v>금</v>
      </c>
      <c r="ET8" s="71" t="str">
        <f t="shared" si="10"/>
        <v>토</v>
      </c>
      <c r="EU8" s="71" t="str">
        <f t="shared" si="10"/>
        <v>일</v>
      </c>
      <c r="EV8" s="71" t="str">
        <f t="shared" si="10"/>
        <v>월</v>
      </c>
      <c r="EW8" s="71" t="str">
        <f t="shared" si="10"/>
        <v>화</v>
      </c>
      <c r="EX8" s="71" t="str">
        <f t="shared" si="10"/>
        <v>수</v>
      </c>
      <c r="EY8" s="71" t="str">
        <f t="shared" si="10"/>
        <v>목</v>
      </c>
      <c r="EZ8" s="71" t="str">
        <f t="shared" si="10"/>
        <v>금</v>
      </c>
      <c r="FA8" s="71" t="str">
        <f t="shared" si="10"/>
        <v>토</v>
      </c>
      <c r="FB8" s="71" t="str">
        <f t="shared" si="10"/>
        <v>일</v>
      </c>
      <c r="FC8" s="71" t="str">
        <f t="shared" si="10"/>
        <v>월</v>
      </c>
      <c r="FD8" s="71" t="str">
        <f t="shared" si="10"/>
        <v>화</v>
      </c>
      <c r="FE8" s="71" t="str">
        <f t="shared" si="10"/>
        <v>수</v>
      </c>
      <c r="FF8" s="71" t="str">
        <f t="shared" si="10"/>
        <v>목</v>
      </c>
      <c r="FG8" s="71" t="str">
        <f t="shared" si="10"/>
        <v>금</v>
      </c>
      <c r="FH8" s="71" t="str">
        <f t="shared" si="10"/>
        <v>토</v>
      </c>
      <c r="FI8" s="71" t="str">
        <f t="shared" si="10"/>
        <v>일</v>
      </c>
      <c r="FJ8" s="71" t="str">
        <f t="shared" si="10"/>
        <v>월</v>
      </c>
      <c r="FK8" s="71" t="str">
        <f t="shared" si="10"/>
        <v>화</v>
      </c>
      <c r="FL8" s="71" t="str">
        <f t="shared" si="10"/>
        <v>수</v>
      </c>
      <c r="FM8" s="71" t="str">
        <f t="shared" si="10"/>
        <v>목</v>
      </c>
      <c r="FN8" s="71" t="str">
        <f t="shared" si="10"/>
        <v>금</v>
      </c>
      <c r="FO8" s="71" t="str">
        <f t="shared" si="10"/>
        <v>토</v>
      </c>
      <c r="FP8" s="71" t="str">
        <f t="shared" si="10"/>
        <v>일</v>
      </c>
      <c r="FQ8" s="71" t="str">
        <f t="shared" si="10"/>
        <v>월</v>
      </c>
      <c r="FR8" s="71" t="str">
        <f t="shared" si="10"/>
        <v>화</v>
      </c>
      <c r="FS8" s="71" t="str">
        <f t="shared" si="10"/>
        <v>수</v>
      </c>
      <c r="FT8" s="71" t="str">
        <f t="shared" si="10"/>
        <v>목</v>
      </c>
      <c r="FU8" s="71" t="str">
        <f t="shared" si="10"/>
        <v>금</v>
      </c>
      <c r="FV8" s="71" t="str">
        <f t="shared" si="10"/>
        <v>토</v>
      </c>
      <c r="FW8" s="71" t="str">
        <f t="shared" si="10"/>
        <v>일</v>
      </c>
      <c r="FX8" s="71" t="str">
        <f t="shared" si="10"/>
        <v>월</v>
      </c>
      <c r="FY8" s="71" t="str">
        <f t="shared" si="10"/>
        <v>화</v>
      </c>
      <c r="FZ8" s="71" t="str">
        <f t="shared" si="10"/>
        <v>수</v>
      </c>
      <c r="GA8" s="71" t="str">
        <f t="shared" si="10"/>
        <v>목</v>
      </c>
      <c r="GB8" s="71" t="str">
        <f t="shared" si="10"/>
        <v>금</v>
      </c>
      <c r="GC8" s="71" t="str">
        <f t="shared" si="10"/>
        <v>토</v>
      </c>
      <c r="GD8" s="71" t="str">
        <f t="shared" si="10"/>
        <v>일</v>
      </c>
      <c r="GE8" s="71" t="str">
        <f t="shared" si="10"/>
        <v>월</v>
      </c>
      <c r="GF8" s="71" t="str">
        <f t="shared" si="10"/>
        <v>화</v>
      </c>
      <c r="GG8" s="71" t="str">
        <f t="shared" si="10"/>
        <v>수</v>
      </c>
      <c r="GH8" s="71" t="str">
        <f t="shared" si="10"/>
        <v>목</v>
      </c>
      <c r="GI8" s="71" t="str">
        <f t="shared" si="10"/>
        <v>금</v>
      </c>
      <c r="GJ8" s="71" t="str">
        <f t="shared" si="10"/>
        <v>토</v>
      </c>
      <c r="GK8" s="71" t="str">
        <f t="shared" si="10"/>
        <v>일</v>
      </c>
      <c r="GL8" s="71" t="str">
        <f t="shared" si="10"/>
        <v>월</v>
      </c>
      <c r="GM8" s="71" t="str">
        <f t="shared" si="10"/>
        <v>화</v>
      </c>
      <c r="GN8" s="71" t="str">
        <f t="shared" si="10"/>
        <v>수</v>
      </c>
      <c r="GO8" s="71" t="str">
        <f t="shared" si="10"/>
        <v>목</v>
      </c>
      <c r="GP8" s="71" t="str">
        <f t="shared" si="10"/>
        <v>금</v>
      </c>
      <c r="GQ8" s="71" t="str">
        <f t="shared" si="10"/>
        <v>토</v>
      </c>
      <c r="GR8" s="71" t="str">
        <f t="shared" si="10"/>
        <v>일</v>
      </c>
      <c r="GS8" s="71" t="str">
        <f t="shared" si="10"/>
        <v>월</v>
      </c>
      <c r="GT8" s="71" t="str">
        <f t="shared" si="10"/>
        <v>화</v>
      </c>
      <c r="GU8" s="71" t="str">
        <f t="shared" si="10"/>
        <v>수</v>
      </c>
      <c r="GV8" s="71" t="str">
        <f t="shared" ref="GV8:HM8" si="11">TEXT(GV$7,"aaa")</f>
        <v>목</v>
      </c>
      <c r="GW8" s="71" t="str">
        <f t="shared" si="11"/>
        <v>금</v>
      </c>
      <c r="GX8" s="71" t="str">
        <f t="shared" si="11"/>
        <v>토</v>
      </c>
      <c r="GY8" s="71" t="str">
        <f t="shared" si="11"/>
        <v>일</v>
      </c>
      <c r="GZ8" s="71" t="str">
        <f t="shared" si="11"/>
        <v>월</v>
      </c>
      <c r="HA8" s="71" t="str">
        <f t="shared" si="11"/>
        <v>화</v>
      </c>
      <c r="HB8" s="71" t="str">
        <f t="shared" si="11"/>
        <v>수</v>
      </c>
      <c r="HC8" s="71" t="str">
        <f t="shared" si="11"/>
        <v>목</v>
      </c>
      <c r="HD8" s="71" t="str">
        <f t="shared" si="11"/>
        <v>금</v>
      </c>
      <c r="HE8" s="71" t="str">
        <f t="shared" si="11"/>
        <v>토</v>
      </c>
      <c r="HF8" s="71" t="str">
        <f t="shared" si="11"/>
        <v>일</v>
      </c>
      <c r="HG8" s="71" t="str">
        <f t="shared" si="11"/>
        <v>월</v>
      </c>
      <c r="HH8" s="71" t="str">
        <f t="shared" si="11"/>
        <v>화</v>
      </c>
      <c r="HI8" s="71" t="str">
        <f t="shared" si="11"/>
        <v>수</v>
      </c>
      <c r="HJ8" s="71" t="str">
        <f t="shared" si="11"/>
        <v>목</v>
      </c>
      <c r="HK8" s="71" t="str">
        <f t="shared" si="11"/>
        <v>금</v>
      </c>
      <c r="HL8" s="71" t="str">
        <f t="shared" si="11"/>
        <v>토</v>
      </c>
      <c r="HM8" s="71" t="str">
        <f t="shared" si="11"/>
        <v>일</v>
      </c>
    </row>
    <row r="9" spans="1:221">
      <c r="A9" s="73" t="s">
        <v>560</v>
      </c>
      <c r="B9" s="48"/>
      <c r="C9" s="48"/>
      <c r="D9" s="48"/>
      <c r="E9" s="48"/>
      <c r="F9" s="48"/>
      <c r="G9" s="48"/>
      <c r="H9" s="48"/>
      <c r="I9" s="48"/>
      <c r="J9" s="48"/>
      <c r="L9" s="74"/>
      <c r="M9" s="74" t="s">
        <v>561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 t="s">
        <v>561</v>
      </c>
      <c r="AG9" s="74" t="s">
        <v>561</v>
      </c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 t="s">
        <v>561</v>
      </c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 t="s">
        <v>561</v>
      </c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 t="s">
        <v>561</v>
      </c>
      <c r="EZ9" s="74" t="s">
        <v>561</v>
      </c>
      <c r="FA9" s="74" t="s">
        <v>561</v>
      </c>
      <c r="FB9" s="74"/>
      <c r="FC9" s="74"/>
      <c r="FD9" s="74"/>
      <c r="FE9" s="74"/>
      <c r="FF9" s="74"/>
      <c r="FG9" s="74"/>
      <c r="FH9" s="74" t="s">
        <v>561</v>
      </c>
      <c r="FI9" s="74"/>
      <c r="FJ9" s="74" t="s">
        <v>561</v>
      </c>
      <c r="FK9" s="74"/>
      <c r="FL9" s="74"/>
      <c r="FM9" s="74"/>
      <c r="FN9" s="74" t="s">
        <v>561</v>
      </c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  <c r="HJ9" s="74"/>
      <c r="HK9" s="74"/>
      <c r="HL9" s="74"/>
      <c r="HM9" s="74"/>
    </row>
    <row r="10" spans="1:221">
      <c r="A10" s="83" t="s">
        <v>372</v>
      </c>
      <c r="B10" s="84" t="s">
        <v>74</v>
      </c>
      <c r="C10" s="85"/>
      <c r="D10" s="85"/>
      <c r="E10" s="86" t="str">
        <f>IFERROR(IF(COUNT($E12:$E30)=0,"",_xlfn.MINIFS($E12:$E30,$C12:$C30,"&lt;&gt;",$H12:$H30,"&lt;&gt;삭제")),"")</f>
        <v/>
      </c>
      <c r="F10" s="86" t="str">
        <f>IFERROR(IF(COUNT($F12:$F30)=0,"",_xlfn.MAXIFS($F12:$F30,$C12:$C30,"&lt;&gt;",$H12:$H30,"&lt;&gt;삭제")),"")</f>
        <v/>
      </c>
      <c r="G10" s="87">
        <f>IFERROR(AVERAGEIFS(G11:G30,$C11:$C30,"&lt;&gt;",$H11:$H30,"&lt;&gt;삭제"),0)</f>
        <v>1</v>
      </c>
      <c r="H10" s="85" t="str">
        <f>IF($G10&gt;=1,"완료",IF($G10&gt;0,"진행중","작업대기"))</f>
        <v>완료</v>
      </c>
      <c r="I10" s="84"/>
      <c r="J10" s="84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</row>
    <row r="11" spans="1:221">
      <c r="A11" s="64" t="s">
        <v>373</v>
      </c>
      <c r="B11" s="65" t="s">
        <v>400</v>
      </c>
      <c r="C11" s="66"/>
      <c r="D11" s="66"/>
      <c r="E11" s="67" t="str">
        <f>IFERROR(IF(COUNT($E12:$E12)=0,"",_xlfn.MINIFS($E12:$E12,$C12:$C12,"&lt;&gt;",$H12:$H12,"&lt;&gt;삭제")),"")</f>
        <v/>
      </c>
      <c r="F11" s="67" t="str">
        <f>IFERROR(IF(COUNT($F12:$F12)=0,"",_xlfn.MAXIFS($F12:$F12,$C12:$C12,"&lt;&gt;",$H12:$H12,"&lt;&gt;삭제")),"")</f>
        <v/>
      </c>
      <c r="G11" s="68">
        <f>IFERROR(AVERAGEIFS(G12:G12,$C12:$C12,"&lt;&gt;",$H12:$H12,"&lt;&gt;삭제"),0)</f>
        <v>1</v>
      </c>
      <c r="H11" s="66" t="str">
        <f>IF($G11&gt;=1,"완료",IF($G11&gt;0,"진행중","작업대기"))</f>
        <v>완료</v>
      </c>
      <c r="I11" s="65"/>
      <c r="J11" s="65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</row>
    <row r="12" spans="1:221" outlineLevel="1">
      <c r="A12" s="49" t="s">
        <v>273</v>
      </c>
      <c r="B12" s="50" t="s">
        <v>401</v>
      </c>
      <c r="C12" s="51" t="s">
        <v>75</v>
      </c>
      <c r="D12" s="51"/>
      <c r="E12" s="52"/>
      <c r="F12" s="52"/>
      <c r="G12" s="53">
        <f>IF(OR($H12="삭제",$H12="작업대기",$H12="보류"),0,IF($H12="완료",1,IFERROR(MIN(0.99,MAX(0,($F$3-$E12)/($F12-$E12))),0)))</f>
        <v>1</v>
      </c>
      <c r="H12" s="51" t="s">
        <v>78</v>
      </c>
      <c r="I12" s="50" t="str">
        <f ca="1">IF(AND($F12&lt;&gt;"",$F12&lt;$F$3,$H12&lt;&gt;"완료",$H12&lt;&gt;"삭제",$H12&lt;&gt;"보류",$H12&lt;&gt;""),"⚠ 마감 초과",IF(AND($F12&lt;&gt;"",$F12&gt;$F$3,$H12="완료"),"⚡ 미래 날짜 완료 이상",""))</f>
        <v/>
      </c>
      <c r="J12" s="50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72"/>
      <c r="GY12" s="72"/>
      <c r="GZ12" s="72"/>
      <c r="HA12" s="72"/>
      <c r="HB12" s="72"/>
      <c r="HC12" s="72"/>
      <c r="HD12" s="72"/>
      <c r="HE12" s="72"/>
      <c r="HF12" s="72"/>
      <c r="HG12" s="72"/>
      <c r="HH12" s="72"/>
      <c r="HI12" s="72"/>
      <c r="HJ12" s="72"/>
      <c r="HK12" s="72"/>
      <c r="HL12" s="72"/>
      <c r="HM12" s="72"/>
    </row>
    <row r="13" spans="1:221">
      <c r="A13" s="64" t="s">
        <v>374</v>
      </c>
      <c r="B13" s="65" t="s">
        <v>402</v>
      </c>
      <c r="C13" s="66"/>
      <c r="D13" s="66"/>
      <c r="E13" s="67" t="str">
        <f>IFERROR(IF(COUNT($E14:$E14)=0,"",_xlfn.MINIFS($E14:$E14,$C14:$C14,"&lt;&gt;",$H14:$H14,"&lt;&gt;삭제")),"")</f>
        <v/>
      </c>
      <c r="F13" s="67" t="str">
        <f>IFERROR(IF(COUNT($F14:$F14)=0,"",_xlfn.MAXIFS($F14:$F14,$C14:$C14,"&lt;&gt;",$H14:$H14,"&lt;&gt;삭제")),"")</f>
        <v/>
      </c>
      <c r="G13" s="68">
        <f>IFERROR(AVERAGEIFS(G14:G14,$C14:$C14,"&lt;&gt;",$H14:$H14,"&lt;&gt;삭제"),0)</f>
        <v>1</v>
      </c>
      <c r="H13" s="66" t="str">
        <f>IF($G13&gt;=1,"완료",IF($G13&gt;0,"진행중","작업대기"))</f>
        <v>완료</v>
      </c>
      <c r="I13" s="65"/>
      <c r="J13" s="65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</row>
    <row r="14" spans="1:221" outlineLevel="1">
      <c r="A14" s="49" t="s">
        <v>274</v>
      </c>
      <c r="B14" s="50" t="s">
        <v>403</v>
      </c>
      <c r="C14" s="51" t="s">
        <v>75</v>
      </c>
      <c r="D14" s="51"/>
      <c r="E14" s="52"/>
      <c r="F14" s="52"/>
      <c r="G14" s="53">
        <f>IF(OR($H14="삭제",$H14="작업대기",$H14="보류"),0,IF($H14="완료",1,IFERROR(MIN(0.99,MAX(0,($F$3-$E14)/($F14-$E14))),0)))</f>
        <v>1</v>
      </c>
      <c r="H14" s="51" t="s">
        <v>78</v>
      </c>
      <c r="I14" s="50" t="str">
        <f ca="1">IF(AND($F14&lt;&gt;"",$F14&lt;$F$3,$H14&lt;&gt;"완료",$H14&lt;&gt;"삭제",$H14&lt;&gt;"보류",$H14&lt;&gt;""),"⚠ 마감 초과",IF(AND($F14&lt;&gt;"",$F14&gt;$F$3,$H14="완료"),"⚡ 미래 날짜 완료 이상",""))</f>
        <v/>
      </c>
      <c r="J14" s="50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</row>
    <row r="15" spans="1:221">
      <c r="A15" s="64" t="s">
        <v>375</v>
      </c>
      <c r="B15" s="65" t="s">
        <v>404</v>
      </c>
      <c r="C15" s="66"/>
      <c r="D15" s="66"/>
      <c r="E15" s="67" t="str">
        <f>IFERROR(IF(COUNT($E16:$E16)=0,"",_xlfn.MINIFS($E16:$E16,$C16:$C16,"&lt;&gt;",$H16:$H16,"&lt;&gt;삭제")),"")</f>
        <v/>
      </c>
      <c r="F15" s="67" t="str">
        <f>IFERROR(IF(COUNT($F16:$F16)=0,"",_xlfn.MAXIFS($F16:$F16,$C16:$C16,"&lt;&gt;",$H16:$H16,"&lt;&gt;삭제")),"")</f>
        <v/>
      </c>
      <c r="G15" s="68">
        <f>IFERROR(AVERAGEIFS(G16:G16,$C16:$C16,"&lt;&gt;",$H16:$H16,"&lt;&gt;삭제"),0)</f>
        <v>1</v>
      </c>
      <c r="H15" s="66" t="str">
        <f>IF($G15&gt;=1,"완료",IF($G15&gt;0,"진행중","작업대기"))</f>
        <v>완료</v>
      </c>
      <c r="I15" s="65"/>
      <c r="J15" s="65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72"/>
      <c r="GF15" s="72"/>
      <c r="GG15" s="72"/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72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</row>
    <row r="16" spans="1:221" outlineLevel="1">
      <c r="A16" s="49" t="s">
        <v>275</v>
      </c>
      <c r="B16" s="50" t="s">
        <v>405</v>
      </c>
      <c r="C16" s="51" t="s">
        <v>75</v>
      </c>
      <c r="D16" s="51"/>
      <c r="E16" s="52"/>
      <c r="F16" s="52"/>
      <c r="G16" s="53">
        <f>IF(OR($H16="삭제",$H16="작업대기",$H16="보류"),0,IF($H16="완료",1,IFERROR(MIN(0.99,MAX(0,($F$3-$E16)/($F16-$E16))),0)))</f>
        <v>1</v>
      </c>
      <c r="H16" s="51" t="s">
        <v>78</v>
      </c>
      <c r="I16" s="50" t="str">
        <f ca="1">IF(AND($F16&lt;&gt;"",$F16&lt;$F$3,$H16&lt;&gt;"완료",$H16&lt;&gt;"삭제",$H16&lt;&gt;"보류",$H16&lt;&gt;""),"⚠ 마감 초과",IF(AND($F16&lt;&gt;"",$F16&gt;$F$3,$H16="완료"),"⚡ 미래 날짜 완료 이상",""))</f>
        <v/>
      </c>
      <c r="J16" s="50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  <c r="GL16" s="72"/>
      <c r="GM16" s="72"/>
      <c r="GN16" s="72"/>
      <c r="GO16" s="72"/>
      <c r="GP16" s="72"/>
      <c r="GQ16" s="72"/>
      <c r="GR16" s="72"/>
      <c r="GS16" s="72"/>
      <c r="GT16" s="72"/>
      <c r="GU16" s="72"/>
      <c r="GV16" s="72"/>
      <c r="GW16" s="72"/>
      <c r="GX16" s="72"/>
      <c r="GY16" s="72"/>
      <c r="GZ16" s="72"/>
      <c r="HA16" s="72"/>
      <c r="HB16" s="72"/>
      <c r="HC16" s="72"/>
      <c r="HD16" s="72"/>
      <c r="HE16" s="72"/>
      <c r="HF16" s="72"/>
      <c r="HG16" s="72"/>
      <c r="HH16" s="72"/>
      <c r="HI16" s="72"/>
      <c r="HJ16" s="72"/>
      <c r="HK16" s="72"/>
      <c r="HL16" s="72"/>
      <c r="HM16" s="72"/>
    </row>
    <row r="17" spans="1:221">
      <c r="A17" s="64" t="s">
        <v>376</v>
      </c>
      <c r="B17" s="65" t="s">
        <v>406</v>
      </c>
      <c r="C17" s="66"/>
      <c r="D17" s="66"/>
      <c r="E17" s="67" t="str">
        <f>IFERROR(IF(COUNT($E18:$E18)=0,"",_xlfn.MINIFS($E18:$E18,$C18:$C18,"&lt;&gt;",$H18:$H18,"&lt;&gt;삭제")),"")</f>
        <v/>
      </c>
      <c r="F17" s="67" t="str">
        <f>IFERROR(IF(COUNT($F18:$F18)=0,"",_xlfn.MAXIFS($F18:$F18,$C18:$C18,"&lt;&gt;",$H18:$H18,"&lt;&gt;삭제")),"")</f>
        <v/>
      </c>
      <c r="G17" s="68">
        <f>IFERROR(AVERAGEIFS(G18:G18,$C18:$C18,"&lt;&gt;",$H18:$H18,"&lt;&gt;삭제"),0)</f>
        <v>1</v>
      </c>
      <c r="H17" s="66" t="str">
        <f>IF($G17&gt;=1,"완료",IF($G17&gt;0,"진행중","작업대기"))</f>
        <v>완료</v>
      </c>
      <c r="I17" s="65"/>
      <c r="J17" s="65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</row>
    <row r="18" spans="1:221" outlineLevel="1">
      <c r="A18" s="49" t="s">
        <v>276</v>
      </c>
      <c r="B18" s="50" t="s">
        <v>407</v>
      </c>
      <c r="C18" s="51" t="s">
        <v>75</v>
      </c>
      <c r="D18" s="51"/>
      <c r="E18" s="52"/>
      <c r="F18" s="52"/>
      <c r="G18" s="53">
        <f>IF(OR($H18="삭제",$H18="작업대기",$H18="보류"),0,IF($H18="완료",1,IFERROR(MIN(0.99,MAX(0,($F$3-$E18)/($F18-$E18))),0)))</f>
        <v>1</v>
      </c>
      <c r="H18" s="51" t="s">
        <v>78</v>
      </c>
      <c r="I18" s="50" t="str">
        <f ca="1">IF(AND($F18&lt;&gt;"",$F18&lt;$F$3,$H18&lt;&gt;"완료",$H18&lt;&gt;"삭제",$H18&lt;&gt;"보류",$H18&lt;&gt;""),"⚠ 마감 초과",IF(AND($F18&lt;&gt;"",$F18&gt;$F$3,$H18="완료"),"⚡ 미래 날짜 완료 이상",""))</f>
        <v/>
      </c>
      <c r="J18" s="50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72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</row>
    <row r="19" spans="1:221">
      <c r="A19" s="64" t="s">
        <v>533</v>
      </c>
      <c r="B19" s="65" t="s">
        <v>408</v>
      </c>
      <c r="C19" s="66"/>
      <c r="D19" s="66"/>
      <c r="E19" s="67" t="str">
        <f>IFERROR(IF(COUNT($E20:$E20)=0,"",_xlfn.MINIFS($E20:$E20,$C20:$C20,"&lt;&gt;",$H20:$H20,"&lt;&gt;삭제")),"")</f>
        <v/>
      </c>
      <c r="F19" s="67" t="str">
        <f>IFERROR(IF(COUNT($F20:$F20)=0,"",_xlfn.MAXIFS($F20:$F20,$C20:$C20,"&lt;&gt;",$H20:$H20,"&lt;&gt;삭제")),"")</f>
        <v/>
      </c>
      <c r="G19" s="68">
        <f>IFERROR(AVERAGEIFS(G20:G20,$C20:$C20,"&lt;&gt;",$H20:$H20,"&lt;&gt;삭제"),0)</f>
        <v>1</v>
      </c>
      <c r="H19" s="66" t="str">
        <f>IF($G19&gt;=1,"완료",IF($G19&gt;0,"진행중","작업대기"))</f>
        <v>완료</v>
      </c>
      <c r="I19" s="65"/>
      <c r="J19" s="65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</row>
    <row r="20" spans="1:221" outlineLevel="1">
      <c r="A20" s="49" t="s">
        <v>277</v>
      </c>
      <c r="B20" s="50" t="s">
        <v>409</v>
      </c>
      <c r="C20" s="51" t="s">
        <v>75</v>
      </c>
      <c r="D20" s="51"/>
      <c r="E20" s="52"/>
      <c r="F20" s="52"/>
      <c r="G20" s="53">
        <f>IF(OR($H20="삭제",$H20="작업대기",$H20="보류"),0,IF($H20="완료",1,IFERROR(MIN(0.99,MAX(0,($F$3-$E20)/($F20-$E20))),0)))</f>
        <v>1</v>
      </c>
      <c r="H20" s="51" t="s">
        <v>78</v>
      </c>
      <c r="I20" s="50" t="str">
        <f ca="1">IF(AND($F20&lt;&gt;"",$F20&lt;$F$3,$H20&lt;&gt;"완료",$H20&lt;&gt;"삭제",$H20&lt;&gt;"보류",$H20&lt;&gt;""),"⚠ 마감 초과",IF(AND($F20&lt;&gt;"",$F20&gt;$F$3,$H20="완료"),"⚡ 미래 날짜 완료 이상",""))</f>
        <v/>
      </c>
      <c r="J20" s="50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</row>
    <row r="21" spans="1:221">
      <c r="A21" s="64" t="s">
        <v>534</v>
      </c>
      <c r="B21" s="65" t="s">
        <v>410</v>
      </c>
      <c r="C21" s="66"/>
      <c r="D21" s="66"/>
      <c r="E21" s="67" t="str">
        <f>IFERROR(IF(COUNT($E22:$E22)=0,"",_xlfn.MINIFS($E22:$E22,$C22:$C22,"&lt;&gt;",$H22:$H22,"&lt;&gt;삭제")),"")</f>
        <v/>
      </c>
      <c r="F21" s="67" t="str">
        <f>IFERROR(IF(COUNT($F22:$F22)=0,"",_xlfn.MAXIFS($F22:$F22,$C22:$C22,"&lt;&gt;",$H22:$H22,"&lt;&gt;삭제")),"")</f>
        <v/>
      </c>
      <c r="G21" s="68">
        <f>IFERROR(AVERAGEIFS(G22:G22,$C22:$C22,"&lt;&gt;",$H22:$H22,"&lt;&gt;삭제"),0)</f>
        <v>1</v>
      </c>
      <c r="H21" s="66" t="str">
        <f>IF($G21&gt;=1,"완료",IF($G21&gt;0,"진행중","작업대기"))</f>
        <v>완료</v>
      </c>
      <c r="I21" s="65"/>
      <c r="J21" s="65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</row>
    <row r="22" spans="1:221" outlineLevel="1">
      <c r="A22" s="49" t="s">
        <v>278</v>
      </c>
      <c r="B22" s="50" t="s">
        <v>411</v>
      </c>
      <c r="C22" s="51" t="s">
        <v>75</v>
      </c>
      <c r="D22" s="51"/>
      <c r="E22" s="52"/>
      <c r="F22" s="52"/>
      <c r="G22" s="53">
        <f>IF(OR($H22="삭제",$H22="작업대기",$H22="보류"),0,IF($H22="완료",1,IFERROR(MIN(0.99,MAX(0,($F$3-$E22)/($F22-$E22))),0)))</f>
        <v>1</v>
      </c>
      <c r="H22" s="51" t="s">
        <v>78</v>
      </c>
      <c r="I22" s="50" t="str">
        <f ca="1">IF(AND($F22&lt;&gt;"",$F22&lt;$F$3,$H22&lt;&gt;"완료",$H22&lt;&gt;"삭제",$H22&lt;&gt;"보류",$H22&lt;&gt;""),"⚠ 마감 초과",IF(AND($F22&lt;&gt;"",$F22&gt;$F$3,$H22="완료"),"⚡ 미래 날짜 완료 이상",""))</f>
        <v/>
      </c>
      <c r="J22" s="50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72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</row>
    <row r="23" spans="1:221">
      <c r="A23" s="64" t="s">
        <v>535</v>
      </c>
      <c r="B23" s="65" t="s">
        <v>412</v>
      </c>
      <c r="C23" s="66"/>
      <c r="D23" s="66"/>
      <c r="E23" s="67" t="str">
        <f>IFERROR(IF(COUNT($E24:$E24)=0,"",_xlfn.MINIFS($E24:$E24,$C24:$C24,"&lt;&gt;",$H24:$H24,"&lt;&gt;삭제")),"")</f>
        <v/>
      </c>
      <c r="F23" s="67" t="str">
        <f>IFERROR(IF(COUNT($F24:$F24)=0,"",_xlfn.MAXIFS($F24:$F24,$C24:$C24,"&lt;&gt;",$H24:$H24,"&lt;&gt;삭제")),"")</f>
        <v/>
      </c>
      <c r="G23" s="68">
        <f>IFERROR(AVERAGEIFS(G24:G24,$C24:$C24,"&lt;&gt;",$H24:$H24,"&lt;&gt;삭제"),0)</f>
        <v>1</v>
      </c>
      <c r="H23" s="66" t="str">
        <f>IF($G23&gt;=1,"완료",IF($G23&gt;0,"진행중","작업대기"))</f>
        <v>완료</v>
      </c>
      <c r="I23" s="65"/>
      <c r="J23" s="65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</row>
    <row r="24" spans="1:221" outlineLevel="1">
      <c r="A24" s="49" t="s">
        <v>279</v>
      </c>
      <c r="B24" s="50" t="s">
        <v>413</v>
      </c>
      <c r="C24" s="51" t="s">
        <v>75</v>
      </c>
      <c r="D24" s="51"/>
      <c r="E24" s="52"/>
      <c r="F24" s="52"/>
      <c r="G24" s="53">
        <f>IF(OR($H24="삭제",$H24="작업대기",$H24="보류"),0,IF($H24="완료",1,IFERROR(MIN(0.99,MAX(0,($F$3-$E24)/($F24-$E24))),0)))</f>
        <v>1</v>
      </c>
      <c r="H24" s="51" t="s">
        <v>78</v>
      </c>
      <c r="I24" s="50" t="str">
        <f ca="1">IF(AND($F24&lt;&gt;"",$F24&lt;$F$3,$H24&lt;&gt;"완료",$H24&lt;&gt;"삭제",$H24&lt;&gt;"보류",$H24&lt;&gt;""),"⚠ 마감 초과",IF(AND($F24&lt;&gt;"",$F24&gt;$F$3,$H24="완료"),"⚡ 미래 날짜 완료 이상",""))</f>
        <v/>
      </c>
      <c r="J24" s="50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2"/>
      <c r="FV24" s="72"/>
      <c r="FW24" s="72"/>
      <c r="FX24" s="72"/>
      <c r="FY24" s="72"/>
      <c r="FZ24" s="72"/>
      <c r="GA24" s="72"/>
      <c r="GB24" s="72"/>
      <c r="GC24" s="72"/>
      <c r="GD24" s="72"/>
      <c r="GE24" s="72"/>
      <c r="GF24" s="72"/>
      <c r="GG24" s="72"/>
      <c r="GH24" s="72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</row>
    <row r="25" spans="1:221">
      <c r="A25" s="64" t="s">
        <v>536</v>
      </c>
      <c r="B25" s="65" t="s">
        <v>414</v>
      </c>
      <c r="C25" s="66"/>
      <c r="D25" s="66"/>
      <c r="E25" s="67" t="str">
        <f>IFERROR(IF(COUNT($E26:$E26)=0,"",_xlfn.MINIFS($E26:$E26,$C26:$C26,"&lt;&gt;",$H26:$H26,"&lt;&gt;삭제")),"")</f>
        <v/>
      </c>
      <c r="F25" s="67" t="str">
        <f>IFERROR(IF(COUNT($F26:$F26)=0,"",_xlfn.MAXIFS($F26:$F26,$C26:$C26,"&lt;&gt;",$H26:$H26,"&lt;&gt;삭제")),"")</f>
        <v/>
      </c>
      <c r="G25" s="68">
        <f>IFERROR(AVERAGEIFS(G26:G26,$C26:$C26,"&lt;&gt;",$H26:$H26,"&lt;&gt;삭제"),0)</f>
        <v>1</v>
      </c>
      <c r="H25" s="66" t="str">
        <f>IF($G25&gt;=1,"완료",IF($G25&gt;0,"진행중","작업대기"))</f>
        <v>완료</v>
      </c>
      <c r="I25" s="65"/>
      <c r="J25" s="65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  <c r="FX25" s="72"/>
      <c r="FY25" s="72"/>
      <c r="FZ25" s="72"/>
      <c r="GA25" s="72"/>
      <c r="GB25" s="72"/>
      <c r="GC25" s="72"/>
      <c r="GD25" s="72"/>
      <c r="GE25" s="72"/>
      <c r="GF25" s="72"/>
      <c r="GG25" s="72"/>
      <c r="GH25" s="72"/>
      <c r="GI25" s="72"/>
      <c r="GJ25" s="72"/>
      <c r="GK25" s="72"/>
      <c r="GL25" s="72"/>
      <c r="GM25" s="72"/>
      <c r="GN25" s="72"/>
      <c r="GO25" s="72"/>
      <c r="GP25" s="72"/>
      <c r="GQ25" s="72"/>
      <c r="GR25" s="72"/>
      <c r="GS25" s="72"/>
      <c r="GT25" s="72"/>
      <c r="GU25" s="72"/>
      <c r="GV25" s="72"/>
      <c r="GW25" s="72"/>
      <c r="GX25" s="72"/>
      <c r="GY25" s="72"/>
      <c r="GZ25" s="72"/>
      <c r="HA25" s="72"/>
      <c r="HB25" s="72"/>
      <c r="HC25" s="72"/>
      <c r="HD25" s="72"/>
      <c r="HE25" s="72"/>
      <c r="HF25" s="72"/>
      <c r="HG25" s="72"/>
      <c r="HH25" s="72"/>
      <c r="HI25" s="72"/>
      <c r="HJ25" s="72"/>
      <c r="HK25" s="72"/>
      <c r="HL25" s="72"/>
      <c r="HM25" s="72"/>
    </row>
    <row r="26" spans="1:221" outlineLevel="1">
      <c r="A26" s="49" t="s">
        <v>280</v>
      </c>
      <c r="B26" s="50" t="s">
        <v>415</v>
      </c>
      <c r="C26" s="51" t="s">
        <v>88</v>
      </c>
      <c r="D26" s="51" t="s">
        <v>562</v>
      </c>
      <c r="E26" s="52"/>
      <c r="F26" s="52"/>
      <c r="G26" s="53">
        <f>IF(OR($H26="삭제",$H26="작업대기",$H26="보류"),0,IF($H26="완료",1,IFERROR(MIN(0.99,MAX(0,($F$3-$E26)/($F26-$E26))),0)))</f>
        <v>1</v>
      </c>
      <c r="H26" s="51" t="s">
        <v>78</v>
      </c>
      <c r="I26" s="50" t="str">
        <f ca="1">IF(AND($F26&lt;&gt;"",$F26&lt;$F$3,$H26&lt;&gt;"완료",$H26&lt;&gt;"삭제",$H26&lt;&gt;"보류",$H26&lt;&gt;""),"⚠ 마감 초과",IF(AND($F26&lt;&gt;"",$F26&gt;$F$3,$H26="완료"),"⚡ 미래 날짜 완료 이상",""))</f>
        <v/>
      </c>
      <c r="J26" s="50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</row>
    <row r="27" spans="1:221">
      <c r="A27" s="64" t="s">
        <v>537</v>
      </c>
      <c r="B27" s="65" t="s">
        <v>416</v>
      </c>
      <c r="C27" s="66"/>
      <c r="D27" s="66"/>
      <c r="E27" s="67" t="str">
        <f>IFERROR(IF(COUNT($E28:$E28)=0,"",_xlfn.MINIFS($E28:$E28,$C28:$C28,"&lt;&gt;",$H28:$H28,"&lt;&gt;삭제")),"")</f>
        <v/>
      </c>
      <c r="F27" s="67" t="str">
        <f>IFERROR(IF(COUNT($F28:$F28)=0,"",_xlfn.MAXIFS($F28:$F28,$C28:$C28,"&lt;&gt;",$H28:$H28,"&lt;&gt;삭제")),"")</f>
        <v/>
      </c>
      <c r="G27" s="68">
        <f>IFERROR(AVERAGEIFS(G28:G28,$C28:$C28,"&lt;&gt;",$H28:$H28,"&lt;&gt;삭제"),0)</f>
        <v>1</v>
      </c>
      <c r="H27" s="66" t="str">
        <f>IF($G27&gt;=1,"완료",IF($G27&gt;0,"진행중","작업대기"))</f>
        <v>완료</v>
      </c>
      <c r="I27" s="65"/>
      <c r="J27" s="65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72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  <c r="FU27" s="72"/>
      <c r="FV27" s="72"/>
      <c r="FW27" s="72"/>
      <c r="FX27" s="72"/>
      <c r="FY27" s="72"/>
      <c r="FZ27" s="72"/>
      <c r="GA27" s="72"/>
      <c r="GB27" s="72"/>
      <c r="GC27" s="72"/>
      <c r="GD27" s="72"/>
      <c r="GE27" s="72"/>
      <c r="GF27" s="72"/>
      <c r="GG27" s="72"/>
      <c r="GH27" s="72"/>
      <c r="GI27" s="72"/>
      <c r="GJ27" s="72"/>
      <c r="GK27" s="72"/>
      <c r="GL27" s="72"/>
      <c r="GM27" s="72"/>
      <c r="GN27" s="72"/>
      <c r="GO27" s="72"/>
      <c r="GP27" s="72"/>
      <c r="GQ27" s="72"/>
      <c r="GR27" s="72"/>
      <c r="GS27" s="72"/>
      <c r="GT27" s="72"/>
      <c r="GU27" s="72"/>
      <c r="GV27" s="72"/>
      <c r="GW27" s="72"/>
      <c r="GX27" s="72"/>
      <c r="GY27" s="72"/>
      <c r="GZ27" s="72"/>
      <c r="HA27" s="72"/>
      <c r="HB27" s="72"/>
      <c r="HC27" s="72"/>
      <c r="HD27" s="72"/>
      <c r="HE27" s="72"/>
      <c r="HF27" s="72"/>
      <c r="HG27" s="72"/>
      <c r="HH27" s="72"/>
      <c r="HI27" s="72"/>
      <c r="HJ27" s="72"/>
      <c r="HK27" s="72"/>
      <c r="HL27" s="72"/>
      <c r="HM27" s="72"/>
    </row>
    <row r="28" spans="1:221" outlineLevel="1">
      <c r="A28" s="49" t="s">
        <v>281</v>
      </c>
      <c r="B28" s="50" t="s">
        <v>417</v>
      </c>
      <c r="C28" s="51" t="s">
        <v>75</v>
      </c>
      <c r="D28" s="51"/>
      <c r="E28" s="52"/>
      <c r="F28" s="52"/>
      <c r="G28" s="53">
        <f>IF(OR($H28="삭제",$H28="작업대기",$H28="보류"),0,IF($H28="완료",1,IFERROR(MIN(0.99,MAX(0,($F$3-$E28)/($F28-$E28))),0)))</f>
        <v>1</v>
      </c>
      <c r="H28" s="51" t="s">
        <v>78</v>
      </c>
      <c r="I28" s="50" t="str">
        <f ca="1">IF(AND($F28&lt;&gt;"",$F28&lt;$F$3,$H28&lt;&gt;"완료",$H28&lt;&gt;"삭제",$H28&lt;&gt;"보류",$H28&lt;&gt;""),"⚠ 마감 초과",IF(AND($F28&lt;&gt;"",$F28&gt;$F$3,$H28="완료"),"⚡ 미래 날짜 완료 이상",""))</f>
        <v/>
      </c>
      <c r="J28" s="50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72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2"/>
      <c r="FV28" s="72"/>
      <c r="FW28" s="72"/>
      <c r="FX28" s="72"/>
      <c r="FY28" s="72"/>
      <c r="FZ28" s="72"/>
      <c r="GA28" s="72"/>
      <c r="GB28" s="72"/>
      <c r="GC28" s="72"/>
      <c r="GD28" s="72"/>
      <c r="GE28" s="72"/>
      <c r="GF28" s="72"/>
      <c r="GG28" s="72"/>
      <c r="GH28" s="72"/>
      <c r="GI28" s="72"/>
      <c r="GJ28" s="72"/>
      <c r="GK28" s="72"/>
      <c r="GL28" s="72"/>
      <c r="GM28" s="72"/>
      <c r="GN28" s="72"/>
      <c r="GO28" s="72"/>
      <c r="GP28" s="72"/>
      <c r="GQ28" s="72"/>
      <c r="GR28" s="72"/>
      <c r="GS28" s="72"/>
      <c r="GT28" s="72"/>
      <c r="GU28" s="72"/>
      <c r="GV28" s="72"/>
      <c r="GW28" s="72"/>
      <c r="GX28" s="72"/>
      <c r="GY28" s="72"/>
      <c r="GZ28" s="72"/>
      <c r="HA28" s="72"/>
      <c r="HB28" s="72"/>
      <c r="HC28" s="72"/>
      <c r="HD28" s="72"/>
      <c r="HE28" s="72"/>
      <c r="HF28" s="72"/>
      <c r="HG28" s="72"/>
      <c r="HH28" s="72"/>
      <c r="HI28" s="72"/>
      <c r="HJ28" s="72"/>
      <c r="HK28" s="72"/>
      <c r="HL28" s="72"/>
      <c r="HM28" s="72"/>
    </row>
    <row r="29" spans="1:221">
      <c r="A29" s="64" t="s">
        <v>538</v>
      </c>
      <c r="B29" s="65" t="s">
        <v>418</v>
      </c>
      <c r="C29" s="66"/>
      <c r="D29" s="66"/>
      <c r="E29" s="67" t="str">
        <f>IFERROR(IF(COUNT($E30:$E30)=0,"",_xlfn.MINIFS($E30:$E30,$C30:$C30,"&lt;&gt;",$H30:$H30,"&lt;&gt;삭제")),"")</f>
        <v/>
      </c>
      <c r="F29" s="67" t="str">
        <f>IFERROR(IF(COUNT($F30:$F30)=0,"",_xlfn.MAXIFS($F30:$F30,$C30:$C30,"&lt;&gt;",$H30:$H30,"&lt;&gt;삭제")),"")</f>
        <v/>
      </c>
      <c r="G29" s="68">
        <f>IFERROR(AVERAGEIFS(G30:G30,$C30:$C30,"&lt;&gt;",$H30:$H30,"&lt;&gt;삭제"),0)</f>
        <v>1</v>
      </c>
      <c r="H29" s="66" t="str">
        <f>IF($G29&gt;=1,"완료",IF($G29&gt;0,"진행중","작업대기"))</f>
        <v>완료</v>
      </c>
      <c r="I29" s="65"/>
      <c r="J29" s="65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72"/>
      <c r="EK29" s="72"/>
      <c r="EL29" s="72"/>
      <c r="EM29" s="72"/>
      <c r="EN29" s="72"/>
      <c r="EO29" s="72"/>
      <c r="EP29" s="72"/>
      <c r="EQ29" s="72"/>
      <c r="ER29" s="72"/>
      <c r="ES29" s="72"/>
      <c r="ET29" s="72"/>
      <c r="EU29" s="72"/>
      <c r="EV29" s="72"/>
      <c r="EW29" s="72"/>
      <c r="EX29" s="72"/>
      <c r="EY29" s="72"/>
      <c r="EZ29" s="72"/>
      <c r="FA29" s="72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  <c r="FU29" s="72"/>
      <c r="FV29" s="72"/>
      <c r="FW29" s="72"/>
      <c r="FX29" s="72"/>
      <c r="FY29" s="72"/>
      <c r="FZ29" s="72"/>
      <c r="GA29" s="72"/>
      <c r="GB29" s="72"/>
      <c r="GC29" s="72"/>
      <c r="GD29" s="72"/>
      <c r="GE29" s="72"/>
      <c r="GF29" s="72"/>
      <c r="GG29" s="72"/>
      <c r="GH29" s="72"/>
      <c r="GI29" s="72"/>
      <c r="GJ29" s="72"/>
      <c r="GK29" s="72"/>
      <c r="GL29" s="72"/>
      <c r="GM29" s="72"/>
      <c r="GN29" s="72"/>
      <c r="GO29" s="72"/>
      <c r="GP29" s="72"/>
      <c r="GQ29" s="72"/>
      <c r="GR29" s="72"/>
      <c r="GS29" s="72"/>
      <c r="GT29" s="72"/>
      <c r="GU29" s="72"/>
      <c r="GV29" s="72"/>
      <c r="GW29" s="72"/>
      <c r="GX29" s="72"/>
      <c r="GY29" s="72"/>
      <c r="GZ29" s="72"/>
      <c r="HA29" s="72"/>
      <c r="HB29" s="72"/>
      <c r="HC29" s="72"/>
      <c r="HD29" s="72"/>
      <c r="HE29" s="72"/>
      <c r="HF29" s="72"/>
      <c r="HG29" s="72"/>
      <c r="HH29" s="72"/>
      <c r="HI29" s="72"/>
      <c r="HJ29" s="72"/>
      <c r="HK29" s="72"/>
      <c r="HL29" s="72"/>
      <c r="HM29" s="72"/>
    </row>
    <row r="30" spans="1:221" outlineLevel="1">
      <c r="A30" s="49" t="s">
        <v>282</v>
      </c>
      <c r="B30" s="50" t="s">
        <v>419</v>
      </c>
      <c r="C30" s="51" t="s">
        <v>75</v>
      </c>
      <c r="D30" s="51"/>
      <c r="E30" s="52"/>
      <c r="F30" s="52"/>
      <c r="G30" s="53">
        <f>IF(OR($H30="삭제",$H30="작업대기",$H30="보류"),0,IF($H30="완료",1,IFERROR(MIN(0.99,MAX(0,($F$3-$E30)/($F30-$E30))),0)))</f>
        <v>1</v>
      </c>
      <c r="H30" s="51" t="s">
        <v>78</v>
      </c>
      <c r="I30" s="50" t="str">
        <f ca="1">IF(AND($F30&lt;&gt;"",$F30&lt;$F$3,$H30&lt;&gt;"완료",$H30&lt;&gt;"삭제",$H30&lt;&gt;"보류",$H30&lt;&gt;""),"⚠ 마감 초과",IF(AND($F30&lt;&gt;"",$F30&gt;$F$3,$H30="완료"),"⚡ 미래 날짜 완료 이상",""))</f>
        <v/>
      </c>
      <c r="J30" s="50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  <c r="EZ30" s="72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/>
      <c r="HI30" s="72"/>
      <c r="HJ30" s="72"/>
      <c r="HK30" s="72"/>
      <c r="HL30" s="72"/>
      <c r="HM30" s="72"/>
    </row>
    <row r="31" spans="1:221">
      <c r="A31" s="59" t="s">
        <v>268</v>
      </c>
      <c r="B31" s="60" t="s">
        <v>576</v>
      </c>
      <c r="C31" s="61"/>
      <c r="D31" s="61"/>
      <c r="E31" s="62">
        <f>IFERROR(IF(COUNT($E33:$E44)=0,"",_xlfn.MINIFS($E33:$E44,$C33:$C44,"&lt;&gt;",$H33:$H44,"&lt;&gt;삭제")),"")</f>
        <v>46146</v>
      </c>
      <c r="F31" s="62">
        <f>IFERROR(IF(COUNT($F33:$F44)=0,"",_xlfn.MAXIFS($F33:$F44,$C33:$C44,"&lt;&gt;",$H33:$H44,"&lt;&gt;삭제")),"")</f>
        <v>46293</v>
      </c>
      <c r="G31" s="63">
        <f>IFERROR(AVERAGEIFS(G32:G44,$C32:$C44,"&lt;&gt;",$H32:$H44,"&lt;&gt;삭제"),0)</f>
        <v>0.875</v>
      </c>
      <c r="H31" s="61" t="str">
        <f>IF($G31&gt;=1,"완료",IF($G31&gt;0,"진행중","작업대기"))</f>
        <v>진행중</v>
      </c>
      <c r="I31" s="60"/>
      <c r="J31" s="60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</row>
    <row r="32" spans="1:221">
      <c r="A32" s="64" t="s">
        <v>377</v>
      </c>
      <c r="B32" s="65" t="s">
        <v>420</v>
      </c>
      <c r="C32" s="66"/>
      <c r="D32" s="66"/>
      <c r="E32" s="67" t="str">
        <f>IFERROR(IF(COUNT($E33:$E34)=0,"",_xlfn.MINIFS($E33:$E34,$C33:$C34,"&lt;&gt;",$H33:$H34,"&lt;&gt;삭제")),"")</f>
        <v/>
      </c>
      <c r="F32" s="67" t="str">
        <f>IFERROR(IF(COUNT($F33:$F34)=0,"",_xlfn.MAXIFS($F33:$F34,$C33:$C34,"&lt;&gt;",$H33:$H34,"&lt;&gt;삭제")),"")</f>
        <v/>
      </c>
      <c r="G32" s="68">
        <f>IFERROR(AVERAGEIFS(G33:G34,$C33:$C34,"&lt;&gt;",$H33:$H34,"&lt;&gt;삭제"),0)</f>
        <v>1</v>
      </c>
      <c r="H32" s="66" t="str">
        <f>IF($G32&gt;=1,"완료",IF($G32&gt;0,"진행중","작업대기"))</f>
        <v>완료</v>
      </c>
      <c r="I32" s="65"/>
      <c r="J32" s="65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</row>
    <row r="33" spans="1:221" outlineLevel="1">
      <c r="A33" s="49" t="s">
        <v>283</v>
      </c>
      <c r="B33" s="50" t="s">
        <v>421</v>
      </c>
      <c r="C33" s="51" t="s">
        <v>88</v>
      </c>
      <c r="D33" s="51" t="s">
        <v>562</v>
      </c>
      <c r="E33" s="52"/>
      <c r="F33" s="52"/>
      <c r="G33" s="53">
        <f>IF(OR($H33="삭제",$H33="작업대기",$H33="보류"),0,IF($H33="완료",1,IFERROR(MIN(0.99,MAX(0,($F$3-$E33)/($F33-$E33))),0)))</f>
        <v>1</v>
      </c>
      <c r="H33" s="51" t="s">
        <v>78</v>
      </c>
      <c r="I33" s="50" t="str">
        <f ca="1">IF(AND($F33&lt;&gt;"",$F33&lt;$F$3,$H33&lt;&gt;"완료",$H33&lt;&gt;"삭제",$H33&lt;&gt;"보류",$H33&lt;&gt;""),"⚠ 마감 초과",IF(AND($F33&lt;&gt;"",$F33&gt;$F$3,$H33="완료"),"⚡ 미래 날짜 완료 이상",""))</f>
        <v/>
      </c>
      <c r="J33" s="50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2"/>
      <c r="EV33" s="72"/>
      <c r="EW33" s="72"/>
      <c r="EX33" s="72"/>
      <c r="EY33" s="72"/>
      <c r="EZ33" s="72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2"/>
      <c r="FM33" s="72"/>
      <c r="FN33" s="72"/>
      <c r="FO33" s="72"/>
      <c r="FP33" s="72"/>
      <c r="FQ33" s="72"/>
      <c r="FR33" s="72"/>
      <c r="FS33" s="72"/>
      <c r="FT33" s="72"/>
      <c r="FU33" s="72"/>
      <c r="FV33" s="72"/>
      <c r="FW33" s="72"/>
      <c r="FX33" s="72"/>
      <c r="FY33" s="72"/>
      <c r="FZ33" s="72"/>
      <c r="GA33" s="72"/>
      <c r="GB33" s="72"/>
      <c r="GC33" s="72"/>
      <c r="GD33" s="72"/>
      <c r="GE33" s="72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  <c r="HJ33" s="72"/>
      <c r="HK33" s="72"/>
      <c r="HL33" s="72"/>
      <c r="HM33" s="72"/>
    </row>
    <row r="34" spans="1:221" outlineLevel="1">
      <c r="A34" s="49" t="s">
        <v>284</v>
      </c>
      <c r="B34" s="50" t="s">
        <v>422</v>
      </c>
      <c r="C34" s="51" t="s">
        <v>88</v>
      </c>
      <c r="D34" s="51" t="s">
        <v>562</v>
      </c>
      <c r="E34" s="52"/>
      <c r="F34" s="52"/>
      <c r="G34" s="53">
        <f>IF(OR($H34="삭제",$H34="작업대기",$H34="보류"),0,IF($H34="완료",1,IFERROR(MIN(0.99,MAX(0,($F$3-$E34)/($F34-$E34))),0)))</f>
        <v>1</v>
      </c>
      <c r="H34" s="51" t="s">
        <v>78</v>
      </c>
      <c r="I34" s="50" t="str">
        <f ca="1">IF(AND($F34&lt;&gt;"",$F34&lt;$F$3,$H34&lt;&gt;"완료",$H34&lt;&gt;"삭제",$H34&lt;&gt;"보류",$H34&lt;&gt;""),"⚠ 마감 초과",IF(AND($F34&lt;&gt;"",$F34&gt;$F$3,$H34="완료"),"⚡ 미래 날짜 완료 이상",""))</f>
        <v/>
      </c>
      <c r="J34" s="50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</row>
    <row r="35" spans="1:221">
      <c r="A35" s="64" t="s">
        <v>378</v>
      </c>
      <c r="B35" s="65" t="s">
        <v>423</v>
      </c>
      <c r="C35" s="66"/>
      <c r="D35" s="66"/>
      <c r="E35" s="67">
        <f>IFERROR(IF(COUNT($E36:$E37)=0,"",_xlfn.MINIFS($E36:$E37,$C36:$C37,"&lt;&gt;",$H36:$H37,"&lt;&gt;삭제")),"")</f>
        <v>46146</v>
      </c>
      <c r="F35" s="67">
        <f>IFERROR(IF(COUNT($F36:$F37)=0,"",_xlfn.MAXIFS($F36:$F37,$C36:$C37,"&lt;&gt;",$H36:$H37,"&lt;&gt;삭제")),"")</f>
        <v>46150</v>
      </c>
      <c r="G35" s="68">
        <f>IFERROR(AVERAGEIFS(G36:G37,$C36:$C37,"&lt;&gt;",$H36:$H37,"&lt;&gt;삭제"),0)</f>
        <v>1</v>
      </c>
      <c r="H35" s="66" t="str">
        <f>IF($G35&gt;=1,"완료",IF($G35&gt;0,"진행중","작업대기"))</f>
        <v>완료</v>
      </c>
      <c r="I35" s="65"/>
      <c r="J35" s="65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</row>
    <row r="36" spans="1:221" outlineLevel="1">
      <c r="A36" s="49" t="s">
        <v>285</v>
      </c>
      <c r="B36" s="50" t="s">
        <v>424</v>
      </c>
      <c r="C36" s="51" t="s">
        <v>88</v>
      </c>
      <c r="D36" s="51" t="s">
        <v>562</v>
      </c>
      <c r="E36" s="52">
        <v>46146</v>
      </c>
      <c r="F36" s="52">
        <v>46150</v>
      </c>
      <c r="G36" s="53">
        <f>IF(OR($H36="삭제",$H36="작업대기",$H36="보류"),0,IF($H36="완료",1,IFERROR(MIN(0.99,MAX(0,($F$3-$E36)/($F36-$E36))),0)))</f>
        <v>1</v>
      </c>
      <c r="H36" s="51" t="s">
        <v>78</v>
      </c>
      <c r="I36" s="50" t="str">
        <f ca="1">IF(AND($F36&lt;&gt;"",$F36&lt;$F$3,$H36&lt;&gt;"완료",$H36&lt;&gt;"삭제",$H36&lt;&gt;"보류",$H36&lt;&gt;""),"⚠ 마감 초과",IF(AND($F36&lt;&gt;"",$F36&gt;$F$3,$H36="완료"),"⚡ 미래 날짜 완료 이상",""))</f>
        <v/>
      </c>
      <c r="J36" s="50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  <c r="HM36" s="72"/>
    </row>
    <row r="37" spans="1:221" outlineLevel="1">
      <c r="A37" s="49" t="s">
        <v>286</v>
      </c>
      <c r="B37" s="50" t="s">
        <v>425</v>
      </c>
      <c r="C37" s="51" t="s">
        <v>88</v>
      </c>
      <c r="D37" s="51" t="s">
        <v>562</v>
      </c>
      <c r="E37" s="52">
        <v>46146</v>
      </c>
      <c r="F37" s="52">
        <v>46150</v>
      </c>
      <c r="G37" s="53">
        <f>IF(OR($H37="삭제",$H37="작업대기",$H37="보류"),0,IF($H37="완료",1,IFERROR(MIN(0.99,MAX(0,($F$3-$E37)/($F37-$E37))),0)))</f>
        <v>1</v>
      </c>
      <c r="H37" s="51" t="s">
        <v>78</v>
      </c>
      <c r="I37" s="50" t="str">
        <f ca="1">IF(AND($F37&lt;&gt;"",$F37&lt;$F$3,$H37&lt;&gt;"완료",$H37&lt;&gt;"삭제",$H37&lt;&gt;"보류",$H37&lt;&gt;""),"⚠ 마감 초과",IF(AND($F37&lt;&gt;"",$F37&gt;$F$3,$H37="완료"),"⚡ 미래 날짜 완료 이상",""))</f>
        <v/>
      </c>
      <c r="J37" s="50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  <c r="EP37" s="72"/>
      <c r="EQ37" s="72"/>
      <c r="ER37" s="72"/>
      <c r="ES37" s="72"/>
      <c r="ET37" s="72"/>
      <c r="EU37" s="72"/>
      <c r="EV37" s="72"/>
      <c r="EW37" s="72"/>
      <c r="EX37" s="72"/>
      <c r="EY37" s="72"/>
      <c r="EZ37" s="72"/>
      <c r="FA37" s="72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72"/>
      <c r="FM37" s="72"/>
      <c r="FN37" s="72"/>
      <c r="FO37" s="72"/>
      <c r="FP37" s="72"/>
      <c r="FQ37" s="72"/>
      <c r="FR37" s="72"/>
      <c r="FS37" s="72"/>
      <c r="FT37" s="72"/>
      <c r="FU37" s="72"/>
      <c r="FV37" s="72"/>
      <c r="FW37" s="72"/>
      <c r="FX37" s="72"/>
      <c r="FY37" s="72"/>
      <c r="FZ37" s="72"/>
      <c r="GA37" s="72"/>
      <c r="GB37" s="72"/>
      <c r="GC37" s="72"/>
      <c r="GD37" s="72"/>
      <c r="GE37" s="72"/>
      <c r="GF37" s="72"/>
      <c r="GG37" s="72"/>
      <c r="GH37" s="72"/>
      <c r="GI37" s="72"/>
      <c r="GJ37" s="72"/>
      <c r="GK37" s="72"/>
      <c r="GL37" s="72"/>
      <c r="GM37" s="72"/>
      <c r="GN37" s="72"/>
      <c r="GO37" s="72"/>
      <c r="GP37" s="72"/>
      <c r="GQ37" s="72"/>
      <c r="GR37" s="72"/>
      <c r="GS37" s="72"/>
      <c r="GT37" s="72"/>
      <c r="GU37" s="72"/>
      <c r="GV37" s="72"/>
      <c r="GW37" s="72"/>
      <c r="GX37" s="72"/>
      <c r="GY37" s="72"/>
      <c r="GZ37" s="72"/>
      <c r="HA37" s="72"/>
      <c r="HB37" s="72"/>
      <c r="HC37" s="72"/>
      <c r="HD37" s="72"/>
      <c r="HE37" s="72"/>
      <c r="HF37" s="72"/>
      <c r="HG37" s="72"/>
      <c r="HH37" s="72"/>
      <c r="HI37" s="72"/>
      <c r="HJ37" s="72"/>
      <c r="HK37" s="72"/>
      <c r="HL37" s="72"/>
      <c r="HM37" s="72"/>
    </row>
    <row r="38" spans="1:221">
      <c r="A38" s="64" t="s">
        <v>379</v>
      </c>
      <c r="B38" s="65" t="s">
        <v>426</v>
      </c>
      <c r="C38" s="66"/>
      <c r="D38" s="66"/>
      <c r="E38" s="67">
        <f>IFERROR(IF(COUNT($E39:$E40)=0,"",_xlfn.MINIFS($E39:$E40,$C39:$C40,"&lt;&gt;",$H39:$H40,"&lt;&gt;삭제")),"")</f>
        <v>46153</v>
      </c>
      <c r="F38" s="67">
        <f>IFERROR(IF(COUNT($F39:$F40)=0,"",_xlfn.MAXIFS($F39:$F40,$C39:$C40,"&lt;&gt;",$H39:$H40,"&lt;&gt;삭제")),"")</f>
        <v>46157</v>
      </c>
      <c r="G38" s="68">
        <f>IFERROR(AVERAGEIFS(G39:G40,$C39:$C40,"&lt;&gt;",$H39:$H40,"&lt;&gt;삭제"),0)</f>
        <v>1</v>
      </c>
      <c r="H38" s="66" t="str">
        <f>IF($G38&gt;=1,"완료",IF($G38&gt;0,"진행중","작업대기"))</f>
        <v>완료</v>
      </c>
      <c r="I38" s="65"/>
      <c r="J38" s="65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2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  <c r="EP38" s="72"/>
      <c r="EQ38" s="72"/>
      <c r="ER38" s="72"/>
      <c r="ES38" s="72"/>
      <c r="ET38" s="72"/>
      <c r="EU38" s="72"/>
      <c r="EV38" s="72"/>
      <c r="EW38" s="72"/>
      <c r="EX38" s="72"/>
      <c r="EY38" s="72"/>
      <c r="EZ38" s="72"/>
      <c r="FA38" s="72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</row>
    <row r="39" spans="1:221" outlineLevel="1">
      <c r="A39" s="49" t="s">
        <v>287</v>
      </c>
      <c r="B39" s="50" t="s">
        <v>427</v>
      </c>
      <c r="C39" s="51" t="s">
        <v>88</v>
      </c>
      <c r="D39" s="51" t="s">
        <v>562</v>
      </c>
      <c r="E39" s="52">
        <v>46153</v>
      </c>
      <c r="F39" s="52">
        <v>46157</v>
      </c>
      <c r="G39" s="53">
        <f>IF(OR($H39="삭제",$H39="작업대기",$H39="보류"),0,IF($H39="완료",1,IFERROR(MIN(0.99,MAX(0,($F$3-$E39)/($F39-$E39))),0)))</f>
        <v>1</v>
      </c>
      <c r="H39" s="51" t="s">
        <v>78</v>
      </c>
      <c r="I39" s="50" t="str">
        <f ca="1">IF(AND($F39&lt;&gt;"",$F39&lt;$F$3,$H39&lt;&gt;"완료",$H39&lt;&gt;"삭제",$H39&lt;&gt;"보류",$H39&lt;&gt;""),"⚠ 마감 초과",IF(AND($F39&lt;&gt;"",$F39&gt;$F$3,$H39="완료"),"⚡ 미래 날짜 완료 이상",""))</f>
        <v/>
      </c>
      <c r="J39" s="50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2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  <c r="EP39" s="72"/>
      <c r="EQ39" s="72"/>
      <c r="ER39" s="72"/>
      <c r="ES39" s="72"/>
      <c r="ET39" s="72"/>
      <c r="EU39" s="72"/>
      <c r="EV39" s="72"/>
      <c r="EW39" s="72"/>
      <c r="EX39" s="72"/>
      <c r="EY39" s="72"/>
      <c r="EZ39" s="72"/>
      <c r="FA39" s="72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72"/>
      <c r="FM39" s="72"/>
      <c r="FN39" s="72"/>
      <c r="FO39" s="72"/>
      <c r="FP39" s="72"/>
      <c r="FQ39" s="72"/>
      <c r="FR39" s="72"/>
      <c r="FS39" s="72"/>
      <c r="FT39" s="72"/>
      <c r="FU39" s="72"/>
      <c r="FV39" s="72"/>
      <c r="FW39" s="72"/>
      <c r="FX39" s="72"/>
      <c r="FY39" s="72"/>
      <c r="FZ39" s="72"/>
      <c r="GA39" s="72"/>
      <c r="GB39" s="72"/>
      <c r="GC39" s="72"/>
      <c r="GD39" s="72"/>
      <c r="GE39" s="72"/>
      <c r="GF39" s="72"/>
      <c r="GG39" s="72"/>
      <c r="GH39" s="72"/>
      <c r="GI39" s="72"/>
      <c r="GJ39" s="72"/>
      <c r="GK39" s="72"/>
      <c r="GL39" s="72"/>
      <c r="GM39" s="72"/>
      <c r="GN39" s="72"/>
      <c r="GO39" s="72"/>
      <c r="GP39" s="72"/>
      <c r="GQ39" s="72"/>
      <c r="GR39" s="72"/>
      <c r="GS39" s="72"/>
      <c r="GT39" s="72"/>
      <c r="GU39" s="72"/>
      <c r="GV39" s="72"/>
      <c r="GW39" s="72"/>
      <c r="GX39" s="72"/>
      <c r="GY39" s="72"/>
      <c r="GZ39" s="72"/>
      <c r="HA39" s="72"/>
      <c r="HB39" s="72"/>
      <c r="HC39" s="72"/>
      <c r="HD39" s="72"/>
      <c r="HE39" s="72"/>
      <c r="HF39" s="72"/>
      <c r="HG39" s="72"/>
      <c r="HH39" s="72"/>
      <c r="HI39" s="72"/>
      <c r="HJ39" s="72"/>
      <c r="HK39" s="72"/>
      <c r="HL39" s="72"/>
      <c r="HM39" s="72"/>
    </row>
    <row r="40" spans="1:221" outlineLevel="1">
      <c r="A40" s="49" t="s">
        <v>288</v>
      </c>
      <c r="B40" s="50" t="s">
        <v>428</v>
      </c>
      <c r="C40" s="51" t="s">
        <v>88</v>
      </c>
      <c r="D40" s="51" t="s">
        <v>562</v>
      </c>
      <c r="E40" s="52">
        <v>46153</v>
      </c>
      <c r="F40" s="52">
        <v>46157</v>
      </c>
      <c r="G40" s="53">
        <f>IF(OR($H40="삭제",$H40="작업대기",$H40="보류"),0,IF($H40="완료",1,IFERROR(MIN(0.99,MAX(0,($F$3-$E40)/($F40-$E40))),0)))</f>
        <v>1</v>
      </c>
      <c r="H40" s="51" t="s">
        <v>78</v>
      </c>
      <c r="I40" s="50" t="str">
        <f ca="1">IF(AND($F40&lt;&gt;"",$F40&lt;$F$3,$H40&lt;&gt;"완료",$H40&lt;&gt;"삭제",$H40&lt;&gt;"보류",$H40&lt;&gt;""),"⚠ 마감 초과",IF(AND($F40&lt;&gt;"",$F40&gt;$F$3,$H40="완료"),"⚡ 미래 날짜 완료 이상",""))</f>
        <v/>
      </c>
      <c r="J40" s="50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  <c r="EP40" s="72"/>
      <c r="EQ40" s="72"/>
      <c r="ER40" s="72"/>
      <c r="ES40" s="72"/>
      <c r="ET40" s="72"/>
      <c r="EU40" s="72"/>
      <c r="EV40" s="72"/>
      <c r="EW40" s="72"/>
      <c r="EX40" s="72"/>
      <c r="EY40" s="72"/>
      <c r="EZ40" s="72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72"/>
      <c r="FM40" s="72"/>
      <c r="FN40" s="72"/>
      <c r="FO40" s="72"/>
      <c r="FP40" s="72"/>
      <c r="FQ40" s="72"/>
      <c r="FR40" s="72"/>
      <c r="FS40" s="72"/>
      <c r="FT40" s="72"/>
      <c r="FU40" s="72"/>
      <c r="FV40" s="72"/>
      <c r="FW40" s="72"/>
      <c r="FX40" s="72"/>
      <c r="FY40" s="72"/>
      <c r="FZ40" s="72"/>
      <c r="GA40" s="72"/>
      <c r="GB40" s="72"/>
      <c r="GC40" s="72"/>
      <c r="GD40" s="72"/>
      <c r="GE40" s="72"/>
      <c r="GF40" s="72"/>
      <c r="GG40" s="72"/>
      <c r="GH40" s="72"/>
      <c r="GI40" s="72"/>
      <c r="GJ40" s="72"/>
      <c r="GK40" s="72"/>
      <c r="GL40" s="72"/>
      <c r="GM40" s="72"/>
      <c r="GN40" s="72"/>
      <c r="GO40" s="72"/>
      <c r="GP40" s="72"/>
      <c r="GQ40" s="72"/>
      <c r="GR40" s="72"/>
      <c r="GS40" s="72"/>
      <c r="GT40" s="72"/>
      <c r="GU40" s="72"/>
      <c r="GV40" s="72"/>
      <c r="GW40" s="72"/>
      <c r="GX40" s="72"/>
      <c r="GY40" s="72"/>
      <c r="GZ40" s="72"/>
      <c r="HA40" s="72"/>
      <c r="HB40" s="72"/>
      <c r="HC40" s="72"/>
      <c r="HD40" s="72"/>
      <c r="HE40" s="72"/>
      <c r="HF40" s="72"/>
      <c r="HG40" s="72"/>
      <c r="HH40" s="72"/>
      <c r="HI40" s="72"/>
      <c r="HJ40" s="72"/>
      <c r="HK40" s="72"/>
      <c r="HL40" s="72"/>
      <c r="HM40" s="72"/>
    </row>
    <row r="41" spans="1:221">
      <c r="A41" s="64" t="s">
        <v>380</v>
      </c>
      <c r="B41" s="65" t="s">
        <v>429</v>
      </c>
      <c r="C41" s="66"/>
      <c r="D41" s="66"/>
      <c r="E41" s="67">
        <f>IFERROR(IF(COUNT($E42:$E42)=0,"",_xlfn.MINIFS($E42:$E42,$C42:$C42,"&lt;&gt;",$H42:$H42,"&lt;&gt;삭제")),"")</f>
        <v>46153</v>
      </c>
      <c r="F41" s="67">
        <f>IFERROR(IF(COUNT($F42:$F42)=0,"",_xlfn.MAXIFS($F42:$F42,$C42:$C42,"&lt;&gt;",$H42:$H42,"&lt;&gt;삭제")),"")</f>
        <v>46157</v>
      </c>
      <c r="G41" s="68">
        <f>IFERROR(AVERAGEIFS(G42:G42,$C42:$C42,"&lt;&gt;",$H42:$H42,"&lt;&gt;삭제"),0)</f>
        <v>1</v>
      </c>
      <c r="H41" s="66" t="str">
        <f>IF($G41&gt;=1,"완료",IF($G41&gt;0,"진행중","작업대기"))</f>
        <v>완료</v>
      </c>
      <c r="I41" s="65"/>
      <c r="J41" s="65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  <c r="EP41" s="72"/>
      <c r="EQ41" s="72"/>
      <c r="ER41" s="72"/>
      <c r="ES41" s="72"/>
      <c r="ET41" s="72"/>
      <c r="EU41" s="72"/>
      <c r="EV41" s="72"/>
      <c r="EW41" s="72"/>
      <c r="EX41" s="72"/>
      <c r="EY41" s="72"/>
      <c r="EZ41" s="72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</row>
    <row r="42" spans="1:221" outlineLevel="1">
      <c r="A42" s="49" t="s">
        <v>289</v>
      </c>
      <c r="B42" s="50" t="s">
        <v>430</v>
      </c>
      <c r="C42" s="51" t="s">
        <v>88</v>
      </c>
      <c r="D42" s="51" t="s">
        <v>562</v>
      </c>
      <c r="E42" s="52">
        <v>46153</v>
      </c>
      <c r="F42" s="52">
        <v>46157</v>
      </c>
      <c r="G42" s="53">
        <f>IF(OR($H42="삭제",$H42="작업대기",$H42="보류"),0,IF($H42="완료",1,IFERROR(MIN(0.99,MAX(0,($F$3-$E42)/($F42-$E42))),0)))</f>
        <v>1</v>
      </c>
      <c r="H42" s="51" t="s">
        <v>78</v>
      </c>
      <c r="I42" s="50" t="str">
        <f ca="1">IF(AND($F42&lt;&gt;"",$F42&lt;$F$3,$H42&lt;&gt;"완료",$H42&lt;&gt;"삭제",$H42&lt;&gt;"보류",$H42&lt;&gt;""),"⚠ 마감 초과",IF(AND($F42&lt;&gt;"",$F42&gt;$F$3,$H42="완료"),"⚡ 미래 날짜 완료 이상",""))</f>
        <v/>
      </c>
      <c r="J42" s="50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  <c r="EP42" s="72"/>
      <c r="EQ42" s="72"/>
      <c r="ER42" s="72"/>
      <c r="ES42" s="72"/>
      <c r="ET42" s="72"/>
      <c r="EU42" s="72"/>
      <c r="EV42" s="72"/>
      <c r="EW42" s="72"/>
      <c r="EX42" s="72"/>
      <c r="EY42" s="72"/>
      <c r="EZ42" s="72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72"/>
      <c r="FR42" s="72"/>
      <c r="FS42" s="72"/>
      <c r="FT42" s="72"/>
      <c r="FU42" s="72"/>
      <c r="FV42" s="72"/>
      <c r="FW42" s="72"/>
      <c r="FX42" s="72"/>
      <c r="FY42" s="72"/>
      <c r="FZ42" s="72"/>
      <c r="GA42" s="72"/>
      <c r="GB42" s="72"/>
      <c r="GC42" s="72"/>
      <c r="GD42" s="72"/>
      <c r="GE42" s="72"/>
      <c r="GF42" s="72"/>
      <c r="GG42" s="72"/>
      <c r="GH42" s="72"/>
      <c r="GI42" s="72"/>
      <c r="GJ42" s="72"/>
      <c r="GK42" s="72"/>
      <c r="GL42" s="72"/>
      <c r="GM42" s="72"/>
      <c r="GN42" s="72"/>
      <c r="GO42" s="72"/>
      <c r="GP42" s="72"/>
      <c r="GQ42" s="72"/>
      <c r="GR42" s="72"/>
      <c r="GS42" s="72"/>
      <c r="GT42" s="72"/>
      <c r="GU42" s="72"/>
      <c r="GV42" s="72"/>
      <c r="GW42" s="72"/>
      <c r="GX42" s="72"/>
      <c r="GY42" s="72"/>
      <c r="GZ42" s="72"/>
      <c r="HA42" s="72"/>
      <c r="HB42" s="72"/>
      <c r="HC42" s="72"/>
      <c r="HD42" s="72"/>
      <c r="HE42" s="72"/>
      <c r="HF42" s="72"/>
      <c r="HG42" s="72"/>
      <c r="HH42" s="72"/>
      <c r="HI42" s="72"/>
      <c r="HJ42" s="72"/>
      <c r="HK42" s="72"/>
      <c r="HL42" s="72"/>
      <c r="HM42" s="72"/>
    </row>
    <row r="43" spans="1:221">
      <c r="A43" s="64" t="s">
        <v>381</v>
      </c>
      <c r="B43" s="65" t="s">
        <v>431</v>
      </c>
      <c r="C43" s="66"/>
      <c r="D43" s="66"/>
      <c r="E43" s="67">
        <f>IFERROR(IF(COUNT($E44:$E44)=0,"",_xlfn.MINIFS($E44:$E44,$C44:$C44,"&lt;&gt;",$H44:$H44,"&lt;&gt;삭제")),"")</f>
        <v>46286</v>
      </c>
      <c r="F43" s="67">
        <f>IFERROR(IF(COUNT($F44:$F44)=0,"",_xlfn.MAXIFS($F44:$F44,$C44:$C44,"&lt;&gt;",$H44:$H44,"&lt;&gt;삭제")),"")</f>
        <v>46293</v>
      </c>
      <c r="G43" s="68">
        <f>IFERROR(AVERAGEIFS(G44:G44,$C44:$C44,"&lt;&gt;",$H44:$H44,"&lt;&gt;삭제"),0)</f>
        <v>0</v>
      </c>
      <c r="H43" s="66" t="str">
        <f>IF($G43&gt;=1,"완료",IF($G43&gt;0,"진행중","작업대기"))</f>
        <v>작업대기</v>
      </c>
      <c r="I43" s="65"/>
      <c r="J43" s="65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/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  <c r="HJ43" s="72"/>
      <c r="HK43" s="72"/>
      <c r="HL43" s="72"/>
      <c r="HM43" s="72"/>
    </row>
    <row r="44" spans="1:221" outlineLevel="1">
      <c r="A44" s="49" t="s">
        <v>290</v>
      </c>
      <c r="B44" s="50" t="s">
        <v>432</v>
      </c>
      <c r="C44" s="51" t="s">
        <v>88</v>
      </c>
      <c r="D44" s="51" t="s">
        <v>562</v>
      </c>
      <c r="E44" s="52">
        <v>46286</v>
      </c>
      <c r="F44" s="52">
        <v>46293</v>
      </c>
      <c r="G44" s="53">
        <f>IF(OR($H44="삭제",$H44="작업대기",$H44="보류"),0,IF($H44="완료",1,IFERROR(MIN(0.99,MAX(0,($F$3-$E44)/($F44-$E44))),0)))</f>
        <v>0</v>
      </c>
      <c r="H44" s="51" t="s">
        <v>106</v>
      </c>
      <c r="I44" s="50" t="str">
        <f ca="1">IF(AND($F44&lt;&gt;"",$F44&lt;$F$3,$H44&lt;&gt;"완료",$H44&lt;&gt;"삭제",$H44&lt;&gt;"보류",$H44&lt;&gt;""),"⚠ 마감 초과",IF(AND($F44&lt;&gt;"",$F44&gt;$F$3,$H44="완료"),"⚡ 미래 날짜 완료 이상",""))</f>
        <v/>
      </c>
      <c r="J44" s="50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</row>
    <row r="45" spans="1:221">
      <c r="A45" s="59" t="s">
        <v>382</v>
      </c>
      <c r="B45" s="60" t="s">
        <v>107</v>
      </c>
      <c r="C45" s="61"/>
      <c r="D45" s="61"/>
      <c r="E45" s="62" t="str">
        <f>IFERROR(IF(COUNT($E47:$E53)=0,"",_xlfn.MINIFS($E47:$E53,$C47:$C53,"&lt;&gt;",$H47:$H53,"&lt;&gt;삭제")),"")</f>
        <v/>
      </c>
      <c r="F45" s="62" t="str">
        <f>IFERROR(IF(COUNT($F47:$F53)=0,"",_xlfn.MAXIFS($F47:$F53,$C47:$C53,"&lt;&gt;",$H47:$H53,"&lt;&gt;삭제")),"")</f>
        <v/>
      </c>
      <c r="G45" s="63">
        <f>IFERROR(AVERAGEIFS(G46:G53,$C46:$C53,"&lt;&gt;",$H46:$H53,"&lt;&gt;삭제"),0)</f>
        <v>0</v>
      </c>
      <c r="H45" s="61" t="str">
        <f>IF($G45&gt;=1,"완료",IF($G45&gt;0,"진행중","작업대기"))</f>
        <v>작업대기</v>
      </c>
      <c r="I45" s="60"/>
      <c r="J45" s="60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</row>
    <row r="46" spans="1:221">
      <c r="A46" s="64" t="s">
        <v>383</v>
      </c>
      <c r="B46" s="65" t="s">
        <v>433</v>
      </c>
      <c r="C46" s="66"/>
      <c r="D46" s="66"/>
      <c r="E46" s="67" t="str">
        <f>IFERROR(IF(COUNT($E47:$E49)=0,"",_xlfn.MINIFS($E47:$E49,$C47:$C49,"&lt;&gt;",$H47:$H49,"&lt;&gt;삭제")),"")</f>
        <v/>
      </c>
      <c r="F46" s="67" t="str">
        <f>IFERROR(IF(COUNT($F47:$F49)=0,"",_xlfn.MAXIFS($F47:$F49,$C47:$C49,"&lt;&gt;",$H47:$H49,"&lt;&gt;삭제")),"")</f>
        <v/>
      </c>
      <c r="G46" s="68">
        <f>IFERROR(AVERAGEIFS(G47:G49,$C47:$C49,"&lt;&gt;",$H47:$H49,"&lt;&gt;삭제"),0)</f>
        <v>0</v>
      </c>
      <c r="H46" s="66" t="str">
        <f>IF($G46&gt;=1,"완료",IF($G46&gt;0,"진행중","작업대기"))</f>
        <v>작업대기</v>
      </c>
      <c r="I46" s="65"/>
      <c r="J46" s="65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</row>
    <row r="47" spans="1:221" outlineLevel="1">
      <c r="A47" s="49" t="s">
        <v>291</v>
      </c>
      <c r="B47" s="50" t="s">
        <v>434</v>
      </c>
      <c r="C47" s="51" t="s">
        <v>88</v>
      </c>
      <c r="D47" s="51" t="s">
        <v>562</v>
      </c>
      <c r="E47" s="52"/>
      <c r="F47" s="52"/>
      <c r="G47" s="53">
        <f>IF(OR($H47="삭제",$H47="작업대기",$H47="보류"),0,IF($H47="완료",1,IFERROR(MIN(0.99,MAX(0,($F$3-$E47)/($F47-$E47))),0)))</f>
        <v>0</v>
      </c>
      <c r="H47" s="51" t="s">
        <v>106</v>
      </c>
      <c r="I47" s="50" t="str">
        <f ca="1">IF(AND($F47&lt;&gt;"",$F47&lt;$F$3,$H47&lt;&gt;"완료",$H47&lt;&gt;"삭제",$H47&lt;&gt;"보류",$H47&lt;&gt;""),"⚠ 마감 초과",IF(AND($F47&lt;&gt;"",$F47&gt;$F$3,$H47="완료"),"⚡ 미래 날짜 완료 이상",""))</f>
        <v/>
      </c>
      <c r="J47" s="50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</row>
    <row r="48" spans="1:221" outlineLevel="1">
      <c r="A48" s="49" t="s">
        <v>292</v>
      </c>
      <c r="B48" s="50" t="s">
        <v>435</v>
      </c>
      <c r="C48" s="51" t="s">
        <v>88</v>
      </c>
      <c r="D48" s="51" t="s">
        <v>562</v>
      </c>
      <c r="E48" s="52"/>
      <c r="F48" s="52"/>
      <c r="G48" s="53">
        <f>IF(OR($H48="삭제",$H48="작업대기",$H48="보류"),0,IF($H48="완료",1,IFERROR(MIN(0.99,MAX(0,($F$3-$E48)/($F48-$E48))),0)))</f>
        <v>0</v>
      </c>
      <c r="H48" s="51" t="s">
        <v>106</v>
      </c>
      <c r="I48" s="50" t="str">
        <f ca="1">IF(AND($F48&lt;&gt;"",$F48&lt;$F$3,$H48&lt;&gt;"완료",$H48&lt;&gt;"삭제",$H48&lt;&gt;"보류",$H48&lt;&gt;""),"⚠ 마감 초과",IF(AND($F48&lt;&gt;"",$F48&gt;$F$3,$H48="완료"),"⚡ 미래 날짜 완료 이상",""))</f>
        <v/>
      </c>
      <c r="J48" s="50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</row>
    <row r="49" spans="1:221" outlineLevel="1">
      <c r="A49" s="49" t="s">
        <v>293</v>
      </c>
      <c r="B49" s="50" t="s">
        <v>436</v>
      </c>
      <c r="C49" s="51" t="s">
        <v>88</v>
      </c>
      <c r="D49" s="51" t="s">
        <v>562</v>
      </c>
      <c r="E49" s="52"/>
      <c r="F49" s="52"/>
      <c r="G49" s="53">
        <f>IF(OR($H49="삭제",$H49="작업대기",$H49="보류"),0,IF($H49="완료",1,IFERROR(MIN(0.99,MAX(0,($F$3-$E49)/($F49-$E49))),0)))</f>
        <v>0</v>
      </c>
      <c r="H49" s="51" t="s">
        <v>106</v>
      </c>
      <c r="I49" s="50" t="str">
        <f ca="1">IF(AND($F49&lt;&gt;"",$F49&lt;$F$3,$H49&lt;&gt;"완료",$H49&lt;&gt;"삭제",$H49&lt;&gt;"보류",$H49&lt;&gt;""),"⚠ 마감 초과",IF(AND($F49&lt;&gt;"",$F49&gt;$F$3,$H49="완료"),"⚡ 미래 날짜 완료 이상",""))</f>
        <v/>
      </c>
      <c r="J49" s="50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</row>
    <row r="50" spans="1:221">
      <c r="A50" s="64" t="s">
        <v>384</v>
      </c>
      <c r="B50" s="65" t="s">
        <v>437</v>
      </c>
      <c r="C50" s="66"/>
      <c r="D50" s="66"/>
      <c r="E50" s="67" t="str">
        <f>IFERROR(IF(COUNT($E51:$E53)=0,"",_xlfn.MINIFS($E51:$E53,$C51:$C53,"&lt;&gt;",$H51:$H53,"&lt;&gt;삭제")),"")</f>
        <v/>
      </c>
      <c r="F50" s="67" t="str">
        <f>IFERROR(IF(COUNT($F51:$F53)=0,"",_xlfn.MAXIFS($F51:$F53,$C51:$C53,"&lt;&gt;",$H51:$H53,"&lt;&gt;삭제")),"")</f>
        <v/>
      </c>
      <c r="G50" s="68">
        <f>IFERROR(AVERAGEIFS(G51:G53,$C51:$C53,"&lt;&gt;",$H51:$H53,"&lt;&gt;삭제"),0)</f>
        <v>0</v>
      </c>
      <c r="H50" s="66" t="str">
        <f>IF($G50&gt;=1,"완료",IF($G50&gt;0,"진행중","작업대기"))</f>
        <v>작업대기</v>
      </c>
      <c r="I50" s="65"/>
      <c r="J50" s="65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2"/>
      <c r="DL50" s="72"/>
      <c r="DM50" s="72"/>
      <c r="DN50" s="72"/>
      <c r="DO50" s="72"/>
      <c r="DP50" s="72"/>
      <c r="DQ50" s="72"/>
      <c r="DR50" s="72"/>
      <c r="DS50" s="72"/>
      <c r="DT50" s="72"/>
      <c r="DU50" s="72"/>
      <c r="DV50" s="72"/>
      <c r="DW50" s="72"/>
      <c r="DX50" s="72"/>
      <c r="DY50" s="72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/>
      <c r="EK50" s="72"/>
      <c r="EL50" s="72"/>
      <c r="EM50" s="72"/>
      <c r="EN50" s="72"/>
      <c r="EO50" s="72"/>
      <c r="EP50" s="72"/>
      <c r="EQ50" s="72"/>
      <c r="ER50" s="72"/>
      <c r="ES50" s="72"/>
      <c r="ET50" s="72"/>
      <c r="EU50" s="72"/>
      <c r="EV50" s="72"/>
      <c r="EW50" s="72"/>
      <c r="EX50" s="72"/>
      <c r="EY50" s="72"/>
      <c r="EZ50" s="72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/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  <c r="HJ50" s="72"/>
      <c r="HK50" s="72"/>
      <c r="HL50" s="72"/>
      <c r="HM50" s="72"/>
    </row>
    <row r="51" spans="1:221" outlineLevel="1">
      <c r="A51" s="49" t="s">
        <v>294</v>
      </c>
      <c r="B51" s="50" t="s">
        <v>438</v>
      </c>
      <c r="C51" s="51" t="s">
        <v>88</v>
      </c>
      <c r="D51" s="51" t="s">
        <v>562</v>
      </c>
      <c r="E51" s="52"/>
      <c r="F51" s="52"/>
      <c r="G51" s="53">
        <f>IF(OR($H51="삭제",$H51="작업대기",$H51="보류"),0,IF($H51="완료",1,IFERROR(MIN(0.99,MAX(0,($F$3-$E51)/($F51-$E51))),0)))</f>
        <v>0</v>
      </c>
      <c r="H51" s="51" t="s">
        <v>106</v>
      </c>
      <c r="I51" s="50" t="str">
        <f ca="1">IF(AND($F51&lt;&gt;"",$F51&lt;$F$3,$H51&lt;&gt;"완료",$H51&lt;&gt;"삭제",$H51&lt;&gt;"보류",$H51&lt;&gt;""),"⚠ 마감 초과",IF(AND($F51&lt;&gt;"",$F51&gt;$F$3,$H51="완료"),"⚡ 미래 날짜 완료 이상",""))</f>
        <v/>
      </c>
      <c r="J51" s="50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72"/>
      <c r="DD51" s="72"/>
      <c r="DE51" s="72"/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2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/>
      <c r="EK51" s="7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72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72"/>
      <c r="FR51" s="72"/>
      <c r="FS51" s="72"/>
      <c r="FT51" s="72"/>
      <c r="FU51" s="72"/>
      <c r="FV51" s="72"/>
      <c r="FW51" s="72"/>
      <c r="FX51" s="72"/>
      <c r="FY51" s="72"/>
      <c r="FZ51" s="72"/>
      <c r="GA51" s="72"/>
      <c r="GB51" s="72"/>
      <c r="GC51" s="72"/>
      <c r="GD51" s="72"/>
      <c r="GE51" s="72"/>
      <c r="GF51" s="72"/>
      <c r="GG51" s="72"/>
      <c r="GH51" s="72"/>
      <c r="GI51" s="72"/>
      <c r="GJ51" s="72"/>
      <c r="GK51" s="72"/>
      <c r="GL51" s="72"/>
      <c r="GM51" s="72"/>
      <c r="GN51" s="72"/>
      <c r="GO51" s="72"/>
      <c r="GP51" s="72"/>
      <c r="GQ51" s="72"/>
      <c r="GR51" s="72"/>
      <c r="GS51" s="72"/>
      <c r="GT51" s="72"/>
      <c r="GU51" s="72"/>
      <c r="GV51" s="72"/>
      <c r="GW51" s="72"/>
      <c r="GX51" s="72"/>
      <c r="GY51" s="72"/>
      <c r="GZ51" s="72"/>
      <c r="HA51" s="72"/>
      <c r="HB51" s="72"/>
      <c r="HC51" s="72"/>
      <c r="HD51" s="72"/>
      <c r="HE51" s="72"/>
      <c r="HF51" s="72"/>
      <c r="HG51" s="72"/>
      <c r="HH51" s="72"/>
      <c r="HI51" s="72"/>
      <c r="HJ51" s="72"/>
      <c r="HK51" s="72"/>
      <c r="HL51" s="72"/>
      <c r="HM51" s="72"/>
    </row>
    <row r="52" spans="1:221" outlineLevel="1">
      <c r="A52" s="49" t="s">
        <v>295</v>
      </c>
      <c r="B52" s="50" t="s">
        <v>439</v>
      </c>
      <c r="C52" s="51" t="s">
        <v>88</v>
      </c>
      <c r="D52" s="51" t="s">
        <v>562</v>
      </c>
      <c r="E52" s="52"/>
      <c r="F52" s="52"/>
      <c r="G52" s="53">
        <f>IF(OR($H52="삭제",$H52="작업대기",$H52="보류"),0,IF($H52="완료",1,IFERROR(MIN(0.99,MAX(0,($F$3-$E52)/($F52-$E52))),0)))</f>
        <v>0</v>
      </c>
      <c r="H52" s="51" t="s">
        <v>106</v>
      </c>
      <c r="I52" s="50" t="str">
        <f ca="1">IF(AND($F52&lt;&gt;"",$F52&lt;$F$3,$H52&lt;&gt;"완료",$H52&lt;&gt;"삭제",$H52&lt;&gt;"보류",$H52&lt;&gt;""),"⚠ 마감 초과",IF(AND($F52&lt;&gt;"",$F52&gt;$F$3,$H52="완료"),"⚡ 미래 날짜 완료 이상",""))</f>
        <v/>
      </c>
      <c r="J52" s="50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/>
      <c r="EK52" s="72"/>
      <c r="EL52" s="72"/>
      <c r="EM52" s="72"/>
      <c r="EN52" s="72"/>
      <c r="EO52" s="72"/>
      <c r="EP52" s="72"/>
      <c r="EQ52" s="72"/>
      <c r="ER52" s="72"/>
      <c r="ES52" s="72"/>
      <c r="ET52" s="72"/>
      <c r="EU52" s="72"/>
      <c r="EV52" s="72"/>
      <c r="EW52" s="72"/>
      <c r="EX52" s="72"/>
      <c r="EY52" s="72"/>
      <c r="EZ52" s="72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/>
      <c r="FT52" s="72"/>
      <c r="FU52" s="72"/>
      <c r="FV52" s="72"/>
      <c r="FW52" s="72"/>
      <c r="FX52" s="72"/>
      <c r="FY52" s="72"/>
      <c r="FZ52" s="72"/>
      <c r="GA52" s="72"/>
      <c r="GB52" s="72"/>
      <c r="GC52" s="72"/>
      <c r="GD52" s="72"/>
      <c r="GE52" s="72"/>
      <c r="GF52" s="72"/>
      <c r="GG52" s="72"/>
      <c r="GH52" s="72"/>
      <c r="GI52" s="72"/>
      <c r="GJ52" s="72"/>
      <c r="GK52" s="72"/>
      <c r="GL52" s="72"/>
      <c r="GM52" s="72"/>
      <c r="GN52" s="72"/>
      <c r="GO52" s="72"/>
      <c r="GP52" s="72"/>
      <c r="GQ52" s="72"/>
      <c r="GR52" s="72"/>
      <c r="GS52" s="72"/>
      <c r="GT52" s="72"/>
      <c r="GU52" s="72"/>
      <c r="GV52" s="72"/>
      <c r="GW52" s="72"/>
      <c r="GX52" s="72"/>
      <c r="GY52" s="72"/>
      <c r="GZ52" s="72"/>
      <c r="HA52" s="72"/>
      <c r="HB52" s="72"/>
      <c r="HC52" s="72"/>
      <c r="HD52" s="72"/>
      <c r="HE52" s="72"/>
      <c r="HF52" s="72"/>
      <c r="HG52" s="72"/>
      <c r="HH52" s="72"/>
      <c r="HI52" s="72"/>
      <c r="HJ52" s="72"/>
      <c r="HK52" s="72"/>
      <c r="HL52" s="72"/>
      <c r="HM52" s="72"/>
    </row>
    <row r="53" spans="1:221" outlineLevel="1">
      <c r="A53" s="49" t="s">
        <v>296</v>
      </c>
      <c r="B53" s="50" t="s">
        <v>440</v>
      </c>
      <c r="C53" s="51" t="s">
        <v>88</v>
      </c>
      <c r="D53" s="51" t="s">
        <v>562</v>
      </c>
      <c r="E53" s="52"/>
      <c r="F53" s="52"/>
      <c r="G53" s="53">
        <f>IF(OR($H53="삭제",$H53="작업대기",$H53="보류"),0,IF($H53="완료",1,IFERROR(MIN(0.99,MAX(0,($F$3-$E53)/($F53-$E53))),0)))</f>
        <v>0</v>
      </c>
      <c r="H53" s="51" t="s">
        <v>106</v>
      </c>
      <c r="I53" s="50" t="str">
        <f ca="1">IF(AND($F53&lt;&gt;"",$F53&lt;$F$3,$H53&lt;&gt;"완료",$H53&lt;&gt;"삭제",$H53&lt;&gt;"보류",$H53&lt;&gt;""),"⚠ 마감 초과",IF(AND($F53&lt;&gt;"",$F53&gt;$F$3,$H53="완료"),"⚡ 미래 날짜 완료 이상",""))</f>
        <v/>
      </c>
      <c r="J53" s="50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2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2"/>
      <c r="DS53" s="72"/>
      <c r="DT53" s="72"/>
      <c r="DU53" s="72"/>
      <c r="DV53" s="72"/>
      <c r="DW53" s="72"/>
      <c r="DX53" s="72"/>
      <c r="DY53" s="72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/>
      <c r="EK53" s="7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72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  <c r="HJ53" s="72"/>
      <c r="HK53" s="72"/>
      <c r="HL53" s="72"/>
      <c r="HM53" s="72"/>
    </row>
    <row r="54" spans="1:221">
      <c r="A54" s="59" t="s">
        <v>385</v>
      </c>
      <c r="B54" s="60" t="s">
        <v>573</v>
      </c>
      <c r="C54" s="61"/>
      <c r="D54" s="61"/>
      <c r="E54" s="62">
        <f>IFERROR(IF(COUNT($E56:$E68)=0,"",_xlfn.MINIFS($E56:$E68,$C56:$C68,"&lt;&gt;",$H56:$H68,"&lt;&gt;삭제")),"")</f>
        <v>46209</v>
      </c>
      <c r="F54" s="62">
        <f>IFERROR(IF(COUNT($F56:$F68)=0,"",_xlfn.MAXIFS($F56:$F68,$C56:$C68,"&lt;&gt;",$H56:$H68,"&lt;&gt;삭제")),"")</f>
        <v>46280</v>
      </c>
      <c r="G54" s="63">
        <f>IFERROR(AVERAGEIFS(G55:G68,$C55:$C68,"&lt;&gt;",$H55:$H68,"&lt;&gt;삭제"),0)</f>
        <v>0.90909090909090906</v>
      </c>
      <c r="H54" s="61" t="str">
        <f>IF($G54&gt;=1,"완료",IF($G54&gt;0,"진행중","작업대기"))</f>
        <v>진행중</v>
      </c>
      <c r="I54" s="60"/>
      <c r="J54" s="60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</row>
    <row r="55" spans="1:221">
      <c r="A55" s="64" t="s">
        <v>386</v>
      </c>
      <c r="B55" s="65" t="s">
        <v>441</v>
      </c>
      <c r="C55" s="66"/>
      <c r="D55" s="66"/>
      <c r="E55" s="67">
        <f>IFERROR(IF(COUNT($E56:$E58)=0,"",_xlfn.MINIFS($E56:$E58,$C56:$C58,"&lt;&gt;",$H56:$H58,"&lt;&gt;삭제")),"")</f>
        <v>46209</v>
      </c>
      <c r="F55" s="67">
        <f>IFERROR(IF(COUNT($F56:$F58)=0,"",_xlfn.MAXIFS($F56:$F58,$C56:$C58,"&lt;&gt;",$H56:$H58,"&lt;&gt;삭제")),"")</f>
        <v>46217</v>
      </c>
      <c r="G55" s="68">
        <f>IFERROR(AVERAGEIFS(G56:G58,$C56:$C58,"&lt;&gt;",$H56:$H58,"&lt;&gt;삭제"),0)</f>
        <v>1</v>
      </c>
      <c r="H55" s="66" t="str">
        <f>IF($G55&gt;=1,"완료",IF($G55&gt;0,"진행중","작업대기"))</f>
        <v>완료</v>
      </c>
      <c r="I55" s="65"/>
      <c r="J55" s="65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/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/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72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</row>
    <row r="56" spans="1:221" outlineLevel="1">
      <c r="A56" s="49" t="s">
        <v>297</v>
      </c>
      <c r="B56" s="50" t="s">
        <v>442</v>
      </c>
      <c r="C56" s="51" t="s">
        <v>88</v>
      </c>
      <c r="D56" s="51" t="s">
        <v>562</v>
      </c>
      <c r="E56" s="52">
        <v>46209</v>
      </c>
      <c r="F56" s="52">
        <v>46217</v>
      </c>
      <c r="G56" s="53">
        <f>IF(OR($H56="삭제",$H56="작업대기",$H56="보류"),0,IF($H56="완료",1,IFERROR(MIN(0.99,MAX(0,($F$3-$E56)/($F56-$E56))),0)))</f>
        <v>1</v>
      </c>
      <c r="H56" s="51" t="s">
        <v>78</v>
      </c>
      <c r="I56" s="50" t="str">
        <f ca="1">IF(AND($F56&lt;&gt;"",$F56&lt;$F$3,$H56&lt;&gt;"완료",$H56&lt;&gt;"삭제",$H56&lt;&gt;"보류",$H56&lt;&gt;""),"⚠ 마감 초과",IF(AND($F56&lt;&gt;"",$F56&gt;$F$3,$H56="완료"),"⚡ 미래 날짜 완료 이상",""))</f>
        <v/>
      </c>
      <c r="J56" s="50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72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  <c r="HJ56" s="72"/>
      <c r="HK56" s="72"/>
      <c r="HL56" s="72"/>
      <c r="HM56" s="72"/>
    </row>
    <row r="57" spans="1:221" outlineLevel="1">
      <c r="A57" s="49" t="s">
        <v>298</v>
      </c>
      <c r="B57" s="50" t="s">
        <v>443</v>
      </c>
      <c r="C57" s="51" t="s">
        <v>88</v>
      </c>
      <c r="D57" s="51" t="s">
        <v>562</v>
      </c>
      <c r="E57" s="52">
        <v>46209</v>
      </c>
      <c r="F57" s="52">
        <v>46217</v>
      </c>
      <c r="G57" s="53">
        <f>IF(OR($H57="삭제",$H57="작업대기",$H57="보류"),0,IF($H57="완료",1,IFERROR(MIN(0.99,MAX(0,($F$3-$E57)/($F57-$E57))),0)))</f>
        <v>1</v>
      </c>
      <c r="H57" s="51" t="s">
        <v>78</v>
      </c>
      <c r="I57" s="50" t="str">
        <f ca="1">IF(AND($F57&lt;&gt;"",$F57&lt;$F$3,$H57&lt;&gt;"완료",$H57&lt;&gt;"삭제",$H57&lt;&gt;"보류",$H57&lt;&gt;""),"⚠ 마감 초과",IF(AND($F57&lt;&gt;"",$F57&gt;$F$3,$H57="완료"),"⚡ 미래 날짜 완료 이상",""))</f>
        <v/>
      </c>
      <c r="J57" s="50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72"/>
      <c r="EZ57" s="72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72"/>
      <c r="FM57" s="72"/>
      <c r="FN57" s="72"/>
      <c r="FO57" s="72"/>
      <c r="FP57" s="72"/>
      <c r="FQ57" s="72"/>
      <c r="FR57" s="72"/>
      <c r="FS57" s="72"/>
      <c r="FT57" s="72"/>
      <c r="FU57" s="72"/>
      <c r="FV57" s="72"/>
      <c r="FW57" s="72"/>
      <c r="FX57" s="72"/>
      <c r="FY57" s="72"/>
      <c r="FZ57" s="72"/>
      <c r="GA57" s="72"/>
      <c r="GB57" s="72"/>
      <c r="GC57" s="72"/>
      <c r="GD57" s="72"/>
      <c r="GE57" s="72"/>
      <c r="GF57" s="72"/>
      <c r="GG57" s="72"/>
      <c r="GH57" s="72"/>
      <c r="GI57" s="72"/>
      <c r="GJ57" s="72"/>
      <c r="GK57" s="72"/>
      <c r="GL57" s="72"/>
      <c r="GM57" s="72"/>
      <c r="GN57" s="72"/>
      <c r="GO57" s="72"/>
      <c r="GP57" s="72"/>
      <c r="GQ57" s="72"/>
      <c r="GR57" s="72"/>
      <c r="GS57" s="72"/>
      <c r="GT57" s="72"/>
      <c r="GU57" s="72"/>
      <c r="GV57" s="72"/>
      <c r="GW57" s="72"/>
      <c r="GX57" s="72"/>
      <c r="GY57" s="72"/>
      <c r="GZ57" s="72"/>
      <c r="HA57" s="72"/>
      <c r="HB57" s="72"/>
      <c r="HC57" s="72"/>
      <c r="HD57" s="72"/>
      <c r="HE57" s="72"/>
      <c r="HF57" s="72"/>
      <c r="HG57" s="72"/>
      <c r="HH57" s="72"/>
      <c r="HI57" s="72"/>
      <c r="HJ57" s="72"/>
      <c r="HK57" s="72"/>
      <c r="HL57" s="72"/>
      <c r="HM57" s="72"/>
    </row>
    <row r="58" spans="1:221" outlineLevel="1">
      <c r="A58" s="49" t="s">
        <v>299</v>
      </c>
      <c r="B58" s="50" t="s">
        <v>444</v>
      </c>
      <c r="C58" s="51" t="s">
        <v>88</v>
      </c>
      <c r="D58" s="51" t="s">
        <v>562</v>
      </c>
      <c r="E58" s="52">
        <v>46209</v>
      </c>
      <c r="F58" s="52">
        <v>46217</v>
      </c>
      <c r="G58" s="53">
        <f>IF(OR($H58="삭제",$H58="작업대기",$H58="보류"),0,IF($H58="완료",1,IFERROR(MIN(0.99,MAX(0,($F$3-$E58)/($F58-$E58))),0)))</f>
        <v>1</v>
      </c>
      <c r="H58" s="51" t="s">
        <v>78</v>
      </c>
      <c r="I58" s="50" t="str">
        <f ca="1">IF(AND($F58&lt;&gt;"",$F58&lt;$F$3,$H58&lt;&gt;"완료",$H58&lt;&gt;"삭제",$H58&lt;&gt;"보류",$H58&lt;&gt;""),"⚠ 마감 초과",IF(AND($F58&lt;&gt;"",$F58&gt;$F$3,$H58="완료"),"⚡ 미래 날짜 완료 이상",""))</f>
        <v/>
      </c>
      <c r="J58" s="50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72"/>
      <c r="EZ58" s="72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/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72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  <c r="HJ58" s="72"/>
      <c r="HK58" s="72"/>
      <c r="HL58" s="72"/>
      <c r="HM58" s="72"/>
    </row>
    <row r="59" spans="1:221">
      <c r="A59" s="64" t="s">
        <v>387</v>
      </c>
      <c r="B59" s="65" t="s">
        <v>445</v>
      </c>
      <c r="C59" s="66"/>
      <c r="D59" s="66"/>
      <c r="E59" s="67">
        <f>IFERROR(IF(COUNT($E60:$E63)=0,"",_xlfn.MINIFS($E60:$E63,$C60:$C63,"&lt;&gt;",$H60:$H63,"&lt;&gt;삭제")),"")</f>
        <v>46223</v>
      </c>
      <c r="F59" s="67">
        <f>IFERROR(IF(COUNT($F60:$F63)=0,"",_xlfn.MAXIFS($F60:$F63,$C60:$C63,"&lt;&gt;",$H60:$H63,"&lt;&gt;삭제")),"")</f>
        <v>46237</v>
      </c>
      <c r="G59" s="68">
        <f>IFERROR(AVERAGEIFS(G60:G63,$C60:$C63,"&lt;&gt;",$H60:$H63,"&lt;&gt;삭제"),0)</f>
        <v>1</v>
      </c>
      <c r="H59" s="66" t="str">
        <f>IF($G59&gt;=1,"완료",IF($G59&gt;0,"진행중","작업대기"))</f>
        <v>완료</v>
      </c>
      <c r="I59" s="65"/>
      <c r="J59" s="65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72"/>
      <c r="ED59" s="72"/>
      <c r="EE59" s="72"/>
      <c r="EF59" s="72"/>
      <c r="EG59" s="72"/>
      <c r="EH59" s="72"/>
      <c r="EI59" s="72"/>
      <c r="EJ59" s="72"/>
      <c r="EK59" s="72"/>
      <c r="EL59" s="72"/>
      <c r="EM59" s="72"/>
      <c r="EN59" s="72"/>
      <c r="EO59" s="72"/>
      <c r="EP59" s="72"/>
      <c r="EQ59" s="72"/>
      <c r="ER59" s="72"/>
      <c r="ES59" s="72"/>
      <c r="ET59" s="72"/>
      <c r="EU59" s="72"/>
      <c r="EV59" s="72"/>
      <c r="EW59" s="72"/>
      <c r="EX59" s="72"/>
      <c r="EY59" s="72"/>
      <c r="EZ59" s="72"/>
      <c r="FA59" s="72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72"/>
      <c r="FM59" s="72"/>
      <c r="FN59" s="72"/>
      <c r="FO59" s="72"/>
      <c r="FP59" s="72"/>
      <c r="FQ59" s="72"/>
      <c r="FR59" s="72"/>
      <c r="FS59" s="72"/>
      <c r="FT59" s="72"/>
      <c r="FU59" s="72"/>
      <c r="FV59" s="72"/>
      <c r="FW59" s="72"/>
      <c r="FX59" s="72"/>
      <c r="FY59" s="72"/>
      <c r="FZ59" s="72"/>
      <c r="GA59" s="72"/>
      <c r="GB59" s="72"/>
      <c r="GC59" s="72"/>
      <c r="GD59" s="72"/>
      <c r="GE59" s="72"/>
      <c r="GF59" s="72"/>
      <c r="GG59" s="72"/>
      <c r="GH59" s="72"/>
      <c r="GI59" s="72"/>
      <c r="GJ59" s="72"/>
      <c r="GK59" s="72"/>
      <c r="GL59" s="72"/>
      <c r="GM59" s="72"/>
      <c r="GN59" s="72"/>
      <c r="GO59" s="72"/>
      <c r="GP59" s="72"/>
      <c r="GQ59" s="72"/>
      <c r="GR59" s="72"/>
      <c r="GS59" s="72"/>
      <c r="GT59" s="72"/>
      <c r="GU59" s="72"/>
      <c r="GV59" s="72"/>
      <c r="GW59" s="72"/>
      <c r="GX59" s="72"/>
      <c r="GY59" s="72"/>
      <c r="GZ59" s="72"/>
      <c r="HA59" s="72"/>
      <c r="HB59" s="72"/>
      <c r="HC59" s="72"/>
      <c r="HD59" s="72"/>
      <c r="HE59" s="72"/>
      <c r="HF59" s="72"/>
      <c r="HG59" s="72"/>
      <c r="HH59" s="72"/>
      <c r="HI59" s="72"/>
      <c r="HJ59" s="72"/>
      <c r="HK59" s="72"/>
      <c r="HL59" s="72"/>
      <c r="HM59" s="72"/>
    </row>
    <row r="60" spans="1:221" outlineLevel="1">
      <c r="A60" s="49" t="s">
        <v>300</v>
      </c>
      <c r="B60" s="50" t="s">
        <v>446</v>
      </c>
      <c r="C60" s="51" t="s">
        <v>88</v>
      </c>
      <c r="D60" s="51" t="s">
        <v>562</v>
      </c>
      <c r="E60" s="52">
        <v>46223</v>
      </c>
      <c r="F60" s="52">
        <v>46231</v>
      </c>
      <c r="G60" s="53">
        <f>IF(OR($H60="삭제",$H60="작업대기",$H60="보류"),0,IF($H60="완료",1,IFERROR(MIN(0.99,MAX(0,($F$3-$E60)/($F60-$E60))),0)))</f>
        <v>1</v>
      </c>
      <c r="H60" s="51" t="s">
        <v>78</v>
      </c>
      <c r="I60" s="50" t="str">
        <f ca="1">IF(AND($F60&lt;&gt;"",$F60&lt;$F$3,$H60&lt;&gt;"완료",$H60&lt;&gt;"삭제",$H60&lt;&gt;"보류",$H60&lt;&gt;""),"⚠ 마감 초과",IF(AND($F60&lt;&gt;"",$F60&gt;$F$3,$H60="완료"),"⚡ 미래 날짜 완료 이상",""))</f>
        <v/>
      </c>
      <c r="J60" s="50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</row>
    <row r="61" spans="1:221" outlineLevel="1">
      <c r="A61" s="49" t="s">
        <v>301</v>
      </c>
      <c r="B61" s="50" t="s">
        <v>447</v>
      </c>
      <c r="C61" s="51" t="s">
        <v>88</v>
      </c>
      <c r="D61" s="51" t="s">
        <v>562</v>
      </c>
      <c r="E61" s="52">
        <v>46223</v>
      </c>
      <c r="F61" s="52">
        <v>46231</v>
      </c>
      <c r="G61" s="53">
        <f>IF(OR($H61="삭제",$H61="작업대기",$H61="보류"),0,IF($H61="완료",1,IFERROR(MIN(0.99,MAX(0,($F$3-$E61)/($F61-$E61))),0)))</f>
        <v>1</v>
      </c>
      <c r="H61" s="51" t="s">
        <v>78</v>
      </c>
      <c r="I61" s="50" t="str">
        <f ca="1">IF(AND($F61&lt;&gt;"",$F61&lt;$F$3,$H61&lt;&gt;"완료",$H61&lt;&gt;"삭제",$H61&lt;&gt;"보류",$H61&lt;&gt;""),"⚠ 마감 초과",IF(AND($F61&lt;&gt;"",$F61&gt;$F$3,$H61="완료"),"⚡ 미래 날짜 완료 이상",""))</f>
        <v/>
      </c>
      <c r="J61" s="50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</row>
    <row r="62" spans="1:221" outlineLevel="1">
      <c r="A62" s="49" t="s">
        <v>302</v>
      </c>
      <c r="B62" s="50" t="s">
        <v>448</v>
      </c>
      <c r="C62" s="51" t="s">
        <v>88</v>
      </c>
      <c r="D62" s="51" t="s">
        <v>562</v>
      </c>
      <c r="E62" s="52">
        <v>46223</v>
      </c>
      <c r="F62" s="52">
        <v>46231</v>
      </c>
      <c r="G62" s="53">
        <f>IF(OR($H62="삭제",$H62="작업대기",$H62="보류"),0,IF($H62="완료",1,IFERROR(MIN(0.99,MAX(0,($F$3-$E62)/($F62-$E62))),0)))</f>
        <v>1</v>
      </c>
      <c r="H62" s="51" t="s">
        <v>78</v>
      </c>
      <c r="I62" s="50" t="str">
        <f ca="1">IF(AND($F62&lt;&gt;"",$F62&lt;$F$3,$H62&lt;&gt;"완료",$H62&lt;&gt;"삭제",$H62&lt;&gt;"보류",$H62&lt;&gt;""),"⚠ 마감 초과",IF(AND($F62&lt;&gt;"",$F62&gt;$F$3,$H62="완료"),"⚡ 미래 날짜 완료 이상",""))</f>
        <v/>
      </c>
      <c r="J62" s="50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/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72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/>
      <c r="HM62" s="72"/>
    </row>
    <row r="63" spans="1:221" outlineLevel="1">
      <c r="A63" s="49" t="s">
        <v>303</v>
      </c>
      <c r="B63" s="50" t="s">
        <v>449</v>
      </c>
      <c r="C63" s="51" t="s">
        <v>88</v>
      </c>
      <c r="D63" s="51" t="s">
        <v>562</v>
      </c>
      <c r="E63" s="52">
        <v>46237</v>
      </c>
      <c r="F63" s="52">
        <v>46237</v>
      </c>
      <c r="G63" s="53">
        <f>IF(OR($H63="삭제",$H63="작업대기",$H63="보류"),0,IF($H63="완료",1,IFERROR(MIN(0.99,MAX(0,($F$3-$E63)/($F63-$E63))),0)))</f>
        <v>1</v>
      </c>
      <c r="H63" s="51" t="s">
        <v>78</v>
      </c>
      <c r="I63" s="50" t="str">
        <f ca="1">IF(AND($F63&lt;&gt;"",$F63&lt;$F$3,$H63&lt;&gt;"완료",$H63&lt;&gt;"삭제",$H63&lt;&gt;"보류",$H63&lt;&gt;""),"⚠ 마감 초과",IF(AND($F63&lt;&gt;"",$F63&gt;$F$3,$H63="완료"),"⚡ 미래 날짜 완료 이상",""))</f>
        <v/>
      </c>
      <c r="J63" s="50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/>
      <c r="HM63" s="72"/>
    </row>
    <row r="64" spans="1:221">
      <c r="A64" s="64" t="s">
        <v>388</v>
      </c>
      <c r="B64" s="65" t="s">
        <v>450</v>
      </c>
      <c r="C64" s="66"/>
      <c r="D64" s="66"/>
      <c r="E64" s="67">
        <f>IFERROR(IF(COUNT($E65:$E68)=0,"",_xlfn.MINIFS($E65:$E68,$C65:$C68,"&lt;&gt;",$H65:$H68,"&lt;&gt;삭제")),"")</f>
        <v>46272</v>
      </c>
      <c r="F64" s="67">
        <f>IFERROR(IF(COUNT($F65:$F68)=0,"",_xlfn.MAXIFS($F65:$F68,$C65:$C68,"&lt;&gt;",$H65:$H68,"&lt;&gt;삭제")),"")</f>
        <v>46280</v>
      </c>
      <c r="G64" s="68">
        <f>IFERROR(AVERAGEIFS(G65:G68,$C65:$C68,"&lt;&gt;",$H65:$H68,"&lt;&gt;삭제"),0)</f>
        <v>0.75</v>
      </c>
      <c r="H64" s="66" t="str">
        <f>IF($G64&gt;=1,"완료",IF($G64&gt;0,"진행중","작업대기"))</f>
        <v>진행중</v>
      </c>
      <c r="I64" s="65"/>
      <c r="J64" s="65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</row>
    <row r="65" spans="1:221" outlineLevel="1">
      <c r="A65" s="49" t="s">
        <v>304</v>
      </c>
      <c r="B65" s="50" t="s">
        <v>451</v>
      </c>
      <c r="C65" s="51" t="s">
        <v>88</v>
      </c>
      <c r="D65" s="51" t="s">
        <v>562</v>
      </c>
      <c r="E65" s="52">
        <v>46272</v>
      </c>
      <c r="F65" s="52">
        <v>46280</v>
      </c>
      <c r="G65" s="53">
        <f>IF(OR($H65="삭제",$H65="작업대기",$H65="보류"),0,IF($H65="완료",1,IFERROR(MIN(0.99,MAX(0,($F$3-$E65)/($F65-$E65))),0)))</f>
        <v>1</v>
      </c>
      <c r="H65" s="51" t="s">
        <v>78</v>
      </c>
      <c r="I65" s="50" t="str">
        <f ca="1">IF(AND($F65&lt;&gt;"",$F65&lt;$F$3,$H65&lt;&gt;"완료",$H65&lt;&gt;"삭제",$H65&lt;&gt;"보류",$H65&lt;&gt;""),"⚠ 마감 초과",IF(AND($F65&lt;&gt;"",$F65&gt;$F$3,$H65="완료"),"⚡ 미래 날짜 완료 이상",""))</f>
        <v/>
      </c>
      <c r="J65" s="50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2"/>
      <c r="DS65" s="72"/>
      <c r="DT65" s="72"/>
      <c r="DU65" s="72"/>
      <c r="DV65" s="72"/>
      <c r="DW65" s="72"/>
      <c r="DX65" s="72"/>
      <c r="DY65" s="72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/>
      <c r="FT65" s="72"/>
      <c r="FU65" s="72"/>
      <c r="FV65" s="72"/>
      <c r="FW65" s="72"/>
      <c r="FX65" s="72"/>
      <c r="FY65" s="72"/>
      <c r="FZ65" s="72"/>
      <c r="GA65" s="72"/>
      <c r="GB65" s="72"/>
      <c r="GC65" s="72"/>
      <c r="GD65" s="72"/>
      <c r="GE65" s="72"/>
      <c r="GF65" s="72"/>
      <c r="GG65" s="72"/>
      <c r="GH65" s="72"/>
      <c r="GI65" s="72"/>
      <c r="GJ65" s="72"/>
      <c r="GK65" s="72"/>
      <c r="GL65" s="72"/>
      <c r="GM65" s="72"/>
      <c r="GN65" s="72"/>
      <c r="GO65" s="72"/>
      <c r="GP65" s="72"/>
      <c r="GQ65" s="72"/>
      <c r="GR65" s="72"/>
      <c r="GS65" s="72"/>
      <c r="GT65" s="72"/>
      <c r="GU65" s="72"/>
      <c r="GV65" s="72"/>
      <c r="GW65" s="72"/>
      <c r="GX65" s="72"/>
      <c r="GY65" s="72"/>
      <c r="GZ65" s="72"/>
      <c r="HA65" s="72"/>
      <c r="HB65" s="72"/>
      <c r="HC65" s="72"/>
      <c r="HD65" s="72"/>
      <c r="HE65" s="72"/>
      <c r="HF65" s="72"/>
      <c r="HG65" s="72"/>
      <c r="HH65" s="72"/>
      <c r="HI65" s="72"/>
      <c r="HJ65" s="72"/>
      <c r="HK65" s="72"/>
      <c r="HL65" s="72"/>
      <c r="HM65" s="72"/>
    </row>
    <row r="66" spans="1:221" outlineLevel="1">
      <c r="A66" s="49" t="s">
        <v>305</v>
      </c>
      <c r="B66" s="50" t="s">
        <v>452</v>
      </c>
      <c r="C66" s="51" t="s">
        <v>88</v>
      </c>
      <c r="D66" s="51" t="s">
        <v>562</v>
      </c>
      <c r="E66" s="52">
        <v>46272</v>
      </c>
      <c r="F66" s="52">
        <v>46280</v>
      </c>
      <c r="G66" s="53">
        <f>IF(OR($H66="삭제",$H66="작업대기",$H66="보류"),0,IF($H66="완료",1,IFERROR(MIN(0.99,MAX(0,($F$3-$E66)/($F66-$E66))),0)))</f>
        <v>1</v>
      </c>
      <c r="H66" s="51" t="s">
        <v>78</v>
      </c>
      <c r="I66" s="50" t="str">
        <f ca="1">IF(AND($F66&lt;&gt;"",$F66&lt;$F$3,$H66&lt;&gt;"완료",$H66&lt;&gt;"삭제",$H66&lt;&gt;"보류",$H66&lt;&gt;""),"⚠ 마감 초과",IF(AND($F66&lt;&gt;"",$F66&gt;$F$3,$H66="완료"),"⚡ 미래 날짜 완료 이상",""))</f>
        <v/>
      </c>
      <c r="J66" s="50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2"/>
      <c r="CR66" s="72"/>
      <c r="CS66" s="72"/>
      <c r="CT66" s="72"/>
      <c r="CU66" s="72"/>
      <c r="CV66" s="72"/>
      <c r="CW66" s="72"/>
      <c r="CX66" s="72"/>
      <c r="CY66" s="72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2"/>
      <c r="DS66" s="72"/>
      <c r="DT66" s="72"/>
      <c r="DU66" s="72"/>
      <c r="DV66" s="72"/>
      <c r="DW66" s="72"/>
      <c r="DX66" s="72"/>
      <c r="DY66" s="72"/>
      <c r="DZ66" s="72"/>
      <c r="EA66" s="72"/>
      <c r="EB66" s="72"/>
      <c r="EC66" s="72"/>
      <c r="ED66" s="72"/>
      <c r="EE66" s="72"/>
      <c r="EF66" s="72"/>
      <c r="EG66" s="72"/>
      <c r="EH66" s="72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/>
      <c r="FT66" s="72"/>
      <c r="FU66" s="72"/>
      <c r="FV66" s="72"/>
      <c r="FW66" s="72"/>
      <c r="FX66" s="72"/>
      <c r="FY66" s="72"/>
      <c r="FZ66" s="72"/>
      <c r="GA66" s="72"/>
      <c r="GB66" s="72"/>
      <c r="GC66" s="72"/>
      <c r="GD66" s="72"/>
      <c r="GE66" s="72"/>
      <c r="GF66" s="72"/>
      <c r="GG66" s="72"/>
      <c r="GH66" s="72"/>
      <c r="GI66" s="72"/>
      <c r="GJ66" s="72"/>
      <c r="GK66" s="72"/>
      <c r="GL66" s="72"/>
      <c r="GM66" s="72"/>
      <c r="GN66" s="72"/>
      <c r="GO66" s="72"/>
      <c r="GP66" s="72"/>
      <c r="GQ66" s="72"/>
      <c r="GR66" s="72"/>
      <c r="GS66" s="72"/>
      <c r="GT66" s="72"/>
      <c r="GU66" s="72"/>
      <c r="GV66" s="72"/>
      <c r="GW66" s="72"/>
      <c r="GX66" s="72"/>
      <c r="GY66" s="72"/>
      <c r="GZ66" s="72"/>
      <c r="HA66" s="72"/>
      <c r="HB66" s="72"/>
      <c r="HC66" s="72"/>
      <c r="HD66" s="72"/>
      <c r="HE66" s="72"/>
      <c r="HF66" s="72"/>
      <c r="HG66" s="72"/>
      <c r="HH66" s="72"/>
      <c r="HI66" s="72"/>
      <c r="HJ66" s="72"/>
      <c r="HK66" s="72"/>
      <c r="HL66" s="72"/>
      <c r="HM66" s="72"/>
    </row>
    <row r="67" spans="1:221" outlineLevel="1">
      <c r="A67" s="49" t="s">
        <v>306</v>
      </c>
      <c r="B67" s="50" t="s">
        <v>453</v>
      </c>
      <c r="C67" s="51" t="s">
        <v>88</v>
      </c>
      <c r="D67" s="51" t="s">
        <v>562</v>
      </c>
      <c r="E67" s="52">
        <v>46272</v>
      </c>
      <c r="F67" s="52">
        <v>46280</v>
      </c>
      <c r="G67" s="53">
        <f>IF(OR($H67="삭제",$H67="작업대기",$H67="보류"),0,IF($H67="완료",1,IFERROR(MIN(0.99,MAX(0,($F$3-$E67)/($F67-$E67))),0)))</f>
        <v>1</v>
      </c>
      <c r="H67" s="51" t="s">
        <v>78</v>
      </c>
      <c r="I67" s="50" t="str">
        <f ca="1">IF(AND($F67&lt;&gt;"",$F67&lt;$F$3,$H67&lt;&gt;"완료",$H67&lt;&gt;"삭제",$H67&lt;&gt;"보류",$H67&lt;&gt;""),"⚠ 마감 초과",IF(AND($F67&lt;&gt;"",$F67&gt;$F$3,$H67="완료"),"⚡ 미래 날짜 완료 이상",""))</f>
        <v/>
      </c>
      <c r="J67" s="50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  <c r="EQ67" s="72"/>
      <c r="ER67" s="72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72"/>
      <c r="FM67" s="72"/>
      <c r="FN67" s="72"/>
      <c r="FO67" s="72"/>
      <c r="FP67" s="72"/>
      <c r="FQ67" s="72"/>
      <c r="FR67" s="72"/>
      <c r="FS67" s="72"/>
      <c r="FT67" s="72"/>
      <c r="FU67" s="72"/>
      <c r="FV67" s="72"/>
      <c r="FW67" s="72"/>
      <c r="FX67" s="72"/>
      <c r="FY67" s="72"/>
      <c r="FZ67" s="72"/>
      <c r="GA67" s="72"/>
      <c r="GB67" s="72"/>
      <c r="GC67" s="72"/>
      <c r="GD67" s="72"/>
      <c r="GE67" s="72"/>
      <c r="GF67" s="72"/>
      <c r="GG67" s="72"/>
      <c r="GH67" s="72"/>
      <c r="GI67" s="72"/>
      <c r="GJ67" s="72"/>
      <c r="GK67" s="72"/>
      <c r="GL67" s="72"/>
      <c r="GM67" s="72"/>
      <c r="GN67" s="72"/>
      <c r="GO67" s="72"/>
      <c r="GP67" s="72"/>
      <c r="GQ67" s="72"/>
      <c r="GR67" s="72"/>
      <c r="GS67" s="72"/>
      <c r="GT67" s="72"/>
      <c r="GU67" s="72"/>
      <c r="GV67" s="72"/>
      <c r="GW67" s="72"/>
      <c r="GX67" s="72"/>
      <c r="GY67" s="72"/>
      <c r="GZ67" s="72"/>
      <c r="HA67" s="72"/>
      <c r="HB67" s="72"/>
      <c r="HC67" s="72"/>
      <c r="HD67" s="72"/>
      <c r="HE67" s="72"/>
      <c r="HF67" s="72"/>
      <c r="HG67" s="72"/>
      <c r="HH67" s="72"/>
      <c r="HI67" s="72"/>
      <c r="HJ67" s="72"/>
      <c r="HK67" s="72"/>
      <c r="HL67" s="72"/>
      <c r="HM67" s="72"/>
    </row>
    <row r="68" spans="1:221" outlineLevel="1">
      <c r="A68" s="49" t="s">
        <v>307</v>
      </c>
      <c r="B68" s="50" t="s">
        <v>454</v>
      </c>
      <c r="C68" s="51" t="s">
        <v>88</v>
      </c>
      <c r="D68" s="51" t="s">
        <v>562</v>
      </c>
      <c r="E68" s="52"/>
      <c r="F68" s="52"/>
      <c r="G68" s="53">
        <f>IF(OR($H68="삭제",$H68="작업대기",$H68="보류"),0,IF($H68="완료",1,IFERROR(MIN(0.99,MAX(0,($F$3-$E68)/($F68-$E68))),0)))</f>
        <v>0</v>
      </c>
      <c r="H68" s="51" t="s">
        <v>369</v>
      </c>
      <c r="I68" s="50" t="str">
        <f ca="1">IF(AND($F68&lt;&gt;"",$F68&lt;$F$3,$H68&lt;&gt;"완료",$H68&lt;&gt;"삭제",$H68&lt;&gt;"보류",$H68&lt;&gt;""),"⚠ 마감 초과",IF(AND($F68&lt;&gt;"",$F68&gt;$F$3,$H68="완료"),"⚡ 미래 날짜 완료 이상",""))</f>
        <v/>
      </c>
      <c r="J68" s="50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2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2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/>
      <c r="EK68" s="72"/>
      <c r="EL68" s="72"/>
      <c r="EM68" s="72"/>
      <c r="EN68" s="72"/>
      <c r="EO68" s="72"/>
      <c r="EP68" s="72"/>
      <c r="EQ68" s="72"/>
      <c r="ER68" s="72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/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  <c r="HJ68" s="72"/>
      <c r="HK68" s="72"/>
      <c r="HL68" s="72"/>
      <c r="HM68" s="72"/>
    </row>
    <row r="69" spans="1:221">
      <c r="A69" s="59" t="s">
        <v>389</v>
      </c>
      <c r="B69" s="60" t="s">
        <v>127</v>
      </c>
      <c r="C69" s="61"/>
      <c r="D69" s="61"/>
      <c r="E69" s="62">
        <f>IFERROR(IF(COUNT($E71:$E97)=0,"",_xlfn.MINIFS($E71:$E97,$C71:$C97,"&lt;&gt;",$H71:$H97,"&lt;&gt;삭제")),"")</f>
        <v>46153</v>
      </c>
      <c r="F69" s="62">
        <f>IFERROR(IF(COUNT($F71:$F97)=0,"",_xlfn.MAXIFS($F71:$F97,$C71:$C97,"&lt;&gt;",$H71:$H97,"&lt;&gt;삭제")),"")</f>
        <v>46276</v>
      </c>
      <c r="G69" s="63">
        <f>IFERROR(AVERAGEIFS(G70:G97,$C70:$C97,"&lt;&gt;",$H70:$H97,"&lt;&gt;삭제"),0)</f>
        <v>0.68181818181818177</v>
      </c>
      <c r="H69" s="61" t="str">
        <f>IF($G69&gt;=1,"완료",IF($G69&gt;0,"진행중","작업대기"))</f>
        <v>진행중</v>
      </c>
      <c r="I69" s="60"/>
      <c r="J69" s="60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  <c r="DY69" s="72"/>
      <c r="DZ69" s="72"/>
      <c r="EA69" s="72"/>
      <c r="EB69" s="72"/>
      <c r="EC69" s="72"/>
      <c r="ED69" s="72"/>
      <c r="EE69" s="72"/>
      <c r="EF69" s="72"/>
      <c r="EG69" s="72"/>
      <c r="EH69" s="72"/>
      <c r="EI69" s="72"/>
      <c r="EJ69" s="72"/>
      <c r="EK69" s="72"/>
      <c r="EL69" s="72"/>
      <c r="EM69" s="72"/>
      <c r="EN69" s="72"/>
      <c r="EO69" s="72"/>
      <c r="EP69" s="72"/>
      <c r="EQ69" s="72"/>
      <c r="ER69" s="72"/>
      <c r="ES69" s="72"/>
      <c r="ET69" s="72"/>
      <c r="EU69" s="72"/>
      <c r="EV69" s="72"/>
      <c r="EW69" s="72"/>
      <c r="EX69" s="72"/>
      <c r="EY69" s="72"/>
      <c r="EZ69" s="72"/>
      <c r="FA69" s="72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72"/>
      <c r="FM69" s="72"/>
      <c r="FN69" s="72"/>
      <c r="FO69" s="72"/>
      <c r="FP69" s="72"/>
      <c r="FQ69" s="72"/>
      <c r="FR69" s="72"/>
      <c r="FS69" s="72"/>
      <c r="FT69" s="72"/>
      <c r="FU69" s="72"/>
      <c r="FV69" s="72"/>
      <c r="FW69" s="72"/>
      <c r="FX69" s="72"/>
      <c r="FY69" s="72"/>
      <c r="FZ69" s="72"/>
      <c r="GA69" s="72"/>
      <c r="GB69" s="72"/>
      <c r="GC69" s="72"/>
      <c r="GD69" s="72"/>
      <c r="GE69" s="72"/>
      <c r="GF69" s="72"/>
      <c r="GG69" s="72"/>
      <c r="GH69" s="72"/>
      <c r="GI69" s="72"/>
      <c r="GJ69" s="72"/>
      <c r="GK69" s="72"/>
      <c r="GL69" s="72"/>
      <c r="GM69" s="72"/>
      <c r="GN69" s="72"/>
      <c r="GO69" s="72"/>
      <c r="GP69" s="72"/>
      <c r="GQ69" s="72"/>
      <c r="GR69" s="72"/>
      <c r="GS69" s="72"/>
      <c r="GT69" s="72"/>
      <c r="GU69" s="72"/>
      <c r="GV69" s="72"/>
      <c r="GW69" s="72"/>
      <c r="GX69" s="72"/>
      <c r="GY69" s="72"/>
      <c r="GZ69" s="72"/>
      <c r="HA69" s="72"/>
      <c r="HB69" s="72"/>
      <c r="HC69" s="72"/>
      <c r="HD69" s="72"/>
      <c r="HE69" s="72"/>
      <c r="HF69" s="72"/>
      <c r="HG69" s="72"/>
      <c r="HH69" s="72"/>
      <c r="HI69" s="72"/>
      <c r="HJ69" s="72"/>
      <c r="HK69" s="72"/>
      <c r="HL69" s="72"/>
      <c r="HM69" s="72"/>
    </row>
    <row r="70" spans="1:221">
      <c r="A70" s="64" t="s">
        <v>390</v>
      </c>
      <c r="B70" s="65" t="s">
        <v>455</v>
      </c>
      <c r="C70" s="66"/>
      <c r="D70" s="66"/>
      <c r="E70" s="67">
        <f>IFERROR(IF(COUNT($E71:$E73)=0,"",_xlfn.MINIFS($E71:$E73,$C71:$C73,"&lt;&gt;",$H71:$H73,"&lt;&gt;삭제")),"")</f>
        <v>46153</v>
      </c>
      <c r="F70" s="67">
        <f>IFERROR(IF(COUNT($F71:$F73)=0,"",_xlfn.MAXIFS($F71:$F73,$C71:$C73,"&lt;&gt;",$H71:$H73,"&lt;&gt;삭제")),"")</f>
        <v>46159</v>
      </c>
      <c r="G70" s="68">
        <f>IFERROR(AVERAGEIFS(G71:G73,$C71:$C73,"&lt;&gt;",$H71:$H73,"&lt;&gt;삭제"),0)</f>
        <v>1</v>
      </c>
      <c r="H70" s="66" t="str">
        <f>IF($G70&gt;=1,"완료",IF($G70&gt;0,"진행중","작업대기"))</f>
        <v>완료</v>
      </c>
      <c r="I70" s="65"/>
      <c r="J70" s="65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2"/>
      <c r="CR70" s="72"/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  <c r="FU70" s="72"/>
      <c r="FV70" s="72"/>
      <c r="FW70" s="72"/>
      <c r="FX70" s="72"/>
      <c r="FY70" s="72"/>
      <c r="FZ70" s="72"/>
      <c r="GA70" s="72"/>
      <c r="GB70" s="72"/>
      <c r="GC70" s="72"/>
      <c r="GD70" s="72"/>
      <c r="GE70" s="72"/>
      <c r="GF70" s="72"/>
      <c r="GG70" s="72"/>
      <c r="GH70" s="72"/>
      <c r="GI70" s="72"/>
      <c r="GJ70" s="72"/>
      <c r="GK70" s="72"/>
      <c r="GL70" s="72"/>
      <c r="GM70" s="72"/>
      <c r="GN70" s="72"/>
      <c r="GO70" s="72"/>
      <c r="GP70" s="72"/>
      <c r="GQ70" s="72"/>
      <c r="GR70" s="72"/>
      <c r="GS70" s="72"/>
      <c r="GT70" s="72"/>
      <c r="GU70" s="72"/>
      <c r="GV70" s="72"/>
      <c r="GW70" s="72"/>
      <c r="GX70" s="72"/>
      <c r="GY70" s="72"/>
      <c r="GZ70" s="72"/>
      <c r="HA70" s="72"/>
      <c r="HB70" s="72"/>
      <c r="HC70" s="72"/>
      <c r="HD70" s="72"/>
      <c r="HE70" s="72"/>
      <c r="HF70" s="72"/>
      <c r="HG70" s="72"/>
      <c r="HH70" s="72"/>
      <c r="HI70" s="72"/>
      <c r="HJ70" s="72"/>
      <c r="HK70" s="72"/>
      <c r="HL70" s="72"/>
      <c r="HM70" s="72"/>
    </row>
    <row r="71" spans="1:221" outlineLevel="1">
      <c r="A71" s="49" t="s">
        <v>308</v>
      </c>
      <c r="B71" s="50" t="s">
        <v>456</v>
      </c>
      <c r="C71" s="51" t="s">
        <v>88</v>
      </c>
      <c r="D71" s="88" t="s">
        <v>571</v>
      </c>
      <c r="E71" s="52">
        <v>46153</v>
      </c>
      <c r="F71" s="52">
        <v>46159</v>
      </c>
      <c r="G71" s="53">
        <f>IF(OR($H71="삭제",$H71="작업대기",$H71="보류"),0,IF($H71="완료",1,IFERROR(MIN(0.99,MAX(0,($F$3-$E71)/($F71-$E71))),0)))</f>
        <v>1</v>
      </c>
      <c r="H71" s="51" t="s">
        <v>78</v>
      </c>
      <c r="I71" s="50" t="str">
        <f ca="1">IF(AND($F71&lt;&gt;"",$F71&lt;$F$3,$H71&lt;&gt;"완료",$H71&lt;&gt;"삭제",$H71&lt;&gt;"보류",$H71&lt;&gt;""),"⚠ 마감 초과",IF(AND($F71&lt;&gt;"",$F71&gt;$F$3,$H71="완료"),"⚡ 미래 날짜 완료 이상",""))</f>
        <v/>
      </c>
      <c r="J71" s="50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  <c r="EQ71" s="72"/>
      <c r="ER71" s="72"/>
      <c r="ES71" s="72"/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72"/>
      <c r="FM71" s="72"/>
      <c r="FN71" s="72"/>
      <c r="FO71" s="72"/>
      <c r="FP71" s="72"/>
      <c r="FQ71" s="72"/>
      <c r="FR71" s="72"/>
      <c r="FS71" s="72"/>
      <c r="FT71" s="72"/>
      <c r="FU71" s="72"/>
      <c r="FV71" s="72"/>
      <c r="FW71" s="72"/>
      <c r="FX71" s="72"/>
      <c r="FY71" s="72"/>
      <c r="FZ71" s="72"/>
      <c r="GA71" s="72"/>
      <c r="GB71" s="72"/>
      <c r="GC71" s="72"/>
      <c r="GD71" s="72"/>
      <c r="GE71" s="72"/>
      <c r="GF71" s="72"/>
      <c r="GG71" s="72"/>
      <c r="GH71" s="72"/>
      <c r="GI71" s="72"/>
      <c r="GJ71" s="72"/>
      <c r="GK71" s="72"/>
      <c r="GL71" s="72"/>
      <c r="GM71" s="72"/>
      <c r="GN71" s="72"/>
      <c r="GO71" s="72"/>
      <c r="GP71" s="72"/>
      <c r="GQ71" s="72"/>
      <c r="GR71" s="72"/>
      <c r="GS71" s="72"/>
      <c r="GT71" s="72"/>
      <c r="GU71" s="72"/>
      <c r="GV71" s="72"/>
      <c r="GW71" s="72"/>
      <c r="GX71" s="72"/>
      <c r="GY71" s="72"/>
      <c r="GZ71" s="72"/>
      <c r="HA71" s="72"/>
      <c r="HB71" s="72"/>
      <c r="HC71" s="72"/>
      <c r="HD71" s="72"/>
      <c r="HE71" s="72"/>
      <c r="HF71" s="72"/>
      <c r="HG71" s="72"/>
      <c r="HH71" s="72"/>
      <c r="HI71" s="72"/>
      <c r="HJ71" s="72"/>
      <c r="HK71" s="72"/>
      <c r="HL71" s="72"/>
      <c r="HM71" s="72"/>
    </row>
    <row r="72" spans="1:221" outlineLevel="1">
      <c r="A72" s="49" t="s">
        <v>309</v>
      </c>
      <c r="B72" s="50" t="s">
        <v>457</v>
      </c>
      <c r="C72" s="51" t="s">
        <v>88</v>
      </c>
      <c r="D72" s="88" t="s">
        <v>571</v>
      </c>
      <c r="E72" s="52">
        <v>46153</v>
      </c>
      <c r="F72" s="52">
        <v>46159</v>
      </c>
      <c r="G72" s="53">
        <f>IF(OR($H72="삭제",$H72="작업대기",$H72="보류"),0,IF($H72="완료",1,IFERROR(MIN(0.99,MAX(0,($F$3-$E72)/($F72-$E72))),0)))</f>
        <v>1</v>
      </c>
      <c r="H72" s="51" t="s">
        <v>78</v>
      </c>
      <c r="I72" s="50" t="str">
        <f ca="1">IF(AND($F72&lt;&gt;"",$F72&lt;$F$3,$H72&lt;&gt;"완료",$H72&lt;&gt;"삭제",$H72&lt;&gt;"보류",$H72&lt;&gt;""),"⚠ 마감 초과",IF(AND($F72&lt;&gt;"",$F72&gt;$F$3,$H72="완료"),"⚡ 미래 날짜 완료 이상",""))</f>
        <v/>
      </c>
      <c r="J72" s="50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2"/>
      <c r="FU72" s="72"/>
      <c r="FV72" s="72"/>
      <c r="FW72" s="72"/>
      <c r="FX72" s="72"/>
      <c r="FY72" s="72"/>
      <c r="FZ72" s="72"/>
      <c r="GA72" s="72"/>
      <c r="GB72" s="72"/>
      <c r="GC72" s="72"/>
      <c r="GD72" s="72"/>
      <c r="GE72" s="72"/>
      <c r="GF72" s="72"/>
      <c r="GG72" s="72"/>
      <c r="GH72" s="72"/>
      <c r="GI72" s="72"/>
      <c r="GJ72" s="72"/>
      <c r="GK72" s="72"/>
      <c r="GL72" s="72"/>
      <c r="GM72" s="72"/>
      <c r="GN72" s="72"/>
      <c r="GO72" s="72"/>
      <c r="GP72" s="72"/>
      <c r="GQ72" s="72"/>
      <c r="GR72" s="72"/>
      <c r="GS72" s="72"/>
      <c r="GT72" s="72"/>
      <c r="GU72" s="72"/>
      <c r="GV72" s="72"/>
      <c r="GW72" s="72"/>
      <c r="GX72" s="72"/>
      <c r="GY72" s="72"/>
      <c r="GZ72" s="72"/>
      <c r="HA72" s="72"/>
      <c r="HB72" s="72"/>
      <c r="HC72" s="72"/>
      <c r="HD72" s="72"/>
      <c r="HE72" s="72"/>
      <c r="HF72" s="72"/>
      <c r="HG72" s="72"/>
      <c r="HH72" s="72"/>
      <c r="HI72" s="72"/>
      <c r="HJ72" s="72"/>
      <c r="HK72" s="72"/>
      <c r="HL72" s="72"/>
      <c r="HM72" s="72"/>
    </row>
    <row r="73" spans="1:221" outlineLevel="1">
      <c r="A73" s="49" t="s">
        <v>310</v>
      </c>
      <c r="B73" s="50" t="s">
        <v>458</v>
      </c>
      <c r="C73" s="51" t="s">
        <v>88</v>
      </c>
      <c r="D73" s="88" t="s">
        <v>571</v>
      </c>
      <c r="E73" s="52">
        <v>46153</v>
      </c>
      <c r="F73" s="52">
        <v>46159</v>
      </c>
      <c r="G73" s="53">
        <f>IF(OR($H73="삭제",$H73="작업대기",$H73="보류"),0,IF($H73="완료",1,IFERROR(MIN(0.99,MAX(0,($F$3-$E73)/($F73-$E73))),0)))</f>
        <v>1</v>
      </c>
      <c r="H73" s="51" t="s">
        <v>78</v>
      </c>
      <c r="I73" s="50" t="str">
        <f ca="1">IF(AND($F73&lt;&gt;"",$F73&lt;$F$3,$H73&lt;&gt;"완료",$H73&lt;&gt;"삭제",$H73&lt;&gt;"보류",$H73&lt;&gt;""),"⚠ 마감 초과",IF(AND($F73&lt;&gt;"",$F73&gt;$F$3,$H73="완료"),"⚡ 미래 날짜 완료 이상",""))</f>
        <v/>
      </c>
      <c r="J73" s="50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  <c r="EQ73" s="72"/>
      <c r="ER73" s="72"/>
      <c r="ES73" s="72"/>
      <c r="ET73" s="72"/>
      <c r="EU73" s="72"/>
      <c r="EV73" s="72"/>
      <c r="EW73" s="72"/>
      <c r="EX73" s="72"/>
      <c r="EY73" s="72"/>
      <c r="EZ73" s="72"/>
      <c r="FA73" s="72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72"/>
      <c r="FM73" s="72"/>
      <c r="FN73" s="72"/>
      <c r="FO73" s="72"/>
      <c r="FP73" s="72"/>
      <c r="FQ73" s="72"/>
      <c r="FR73" s="72"/>
      <c r="FS73" s="72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  <c r="HJ73" s="72"/>
      <c r="HK73" s="72"/>
      <c r="HL73" s="72"/>
      <c r="HM73" s="72"/>
    </row>
    <row r="74" spans="1:221">
      <c r="A74" s="64" t="s">
        <v>391</v>
      </c>
      <c r="B74" s="65" t="s">
        <v>459</v>
      </c>
      <c r="C74" s="66"/>
      <c r="D74" s="66"/>
      <c r="E74" s="67" t="str">
        <f>IFERROR(IF(COUNT($E75:$E77)=0,"",_xlfn.MINIFS($E75:$E77,$C75:$C77,"&lt;&gt;",$H75:$H77,"&lt;&gt;삭제")),"")</f>
        <v/>
      </c>
      <c r="F74" s="67" t="str">
        <f>IFERROR(IF(COUNT($F75:$F77)=0,"",_xlfn.MAXIFS($F75:$F77,$C75:$C77,"&lt;&gt;",$H75:$H77,"&lt;&gt;삭제")),"")</f>
        <v/>
      </c>
      <c r="G74" s="68">
        <f>IFERROR(AVERAGEIFS(G75:G77,$C75:$C77,"&lt;&gt;",$H75:$H77,"&lt;&gt;삭제"),0)</f>
        <v>1</v>
      </c>
      <c r="H74" s="66" t="str">
        <f>IF($G74&gt;=1,"완료",IF($G74&gt;0,"진행중","작업대기"))</f>
        <v>완료</v>
      </c>
      <c r="I74" s="65"/>
      <c r="J74" s="65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  <c r="EQ74" s="72"/>
      <c r="ER74" s="72"/>
      <c r="ES74" s="72"/>
      <c r="ET74" s="72"/>
      <c r="EU74" s="72"/>
      <c r="EV74" s="72"/>
      <c r="EW74" s="72"/>
      <c r="EX74" s="72"/>
      <c r="EY74" s="72"/>
      <c r="EZ74" s="72"/>
      <c r="FA74" s="72"/>
      <c r="FB74" s="72"/>
      <c r="FC74" s="72"/>
      <c r="FD74" s="72"/>
      <c r="FE74" s="72"/>
      <c r="FF74" s="72"/>
      <c r="FG74" s="72"/>
      <c r="FH74" s="72"/>
      <c r="FI74" s="72"/>
      <c r="FJ74" s="72"/>
      <c r="FK74" s="72"/>
      <c r="FL74" s="72"/>
      <c r="FM74" s="72"/>
      <c r="FN74" s="72"/>
      <c r="FO74" s="72"/>
      <c r="FP74" s="72"/>
      <c r="FQ74" s="72"/>
      <c r="FR74" s="72"/>
      <c r="FS74" s="72"/>
      <c r="FT74" s="72"/>
      <c r="FU74" s="72"/>
      <c r="FV74" s="72"/>
      <c r="FW74" s="72"/>
      <c r="FX74" s="72"/>
      <c r="FY74" s="72"/>
      <c r="FZ74" s="72"/>
      <c r="GA74" s="72"/>
      <c r="GB74" s="72"/>
      <c r="GC74" s="72"/>
      <c r="GD74" s="72"/>
      <c r="GE74" s="72"/>
      <c r="GF74" s="72"/>
      <c r="GG74" s="72"/>
      <c r="GH74" s="72"/>
      <c r="GI74" s="72"/>
      <c r="GJ74" s="72"/>
      <c r="GK74" s="72"/>
      <c r="GL74" s="72"/>
      <c r="GM74" s="72"/>
      <c r="GN74" s="72"/>
      <c r="GO74" s="72"/>
      <c r="GP74" s="72"/>
      <c r="GQ74" s="72"/>
      <c r="GR74" s="72"/>
      <c r="GS74" s="72"/>
      <c r="GT74" s="72"/>
      <c r="GU74" s="72"/>
      <c r="GV74" s="72"/>
      <c r="GW74" s="72"/>
      <c r="GX74" s="72"/>
      <c r="GY74" s="72"/>
      <c r="GZ74" s="72"/>
      <c r="HA74" s="72"/>
      <c r="HB74" s="72"/>
      <c r="HC74" s="72"/>
      <c r="HD74" s="72"/>
      <c r="HE74" s="72"/>
      <c r="HF74" s="72"/>
      <c r="HG74" s="72"/>
      <c r="HH74" s="72"/>
      <c r="HI74" s="72"/>
      <c r="HJ74" s="72"/>
      <c r="HK74" s="72"/>
      <c r="HL74" s="72"/>
      <c r="HM74" s="72"/>
    </row>
    <row r="75" spans="1:221" outlineLevel="1">
      <c r="A75" s="49" t="s">
        <v>311</v>
      </c>
      <c r="B75" s="50" t="s">
        <v>460</v>
      </c>
      <c r="C75" s="51" t="s">
        <v>570</v>
      </c>
      <c r="D75" s="88" t="s">
        <v>572</v>
      </c>
      <c r="E75" s="52"/>
      <c r="F75" s="52"/>
      <c r="G75" s="53">
        <f>IF(OR($H75="삭제",$H75="작업대기",$H75="보류"),0,IF($H75="완료",1,IFERROR(MIN(0.99,MAX(0,($F$3-$E75)/($F75-$E75))),0)))</f>
        <v>1</v>
      </c>
      <c r="H75" s="51" t="s">
        <v>78</v>
      </c>
      <c r="I75" s="50" t="str">
        <f ca="1">IF(AND($F75&lt;&gt;"",$F75&lt;$F$3,$H75&lt;&gt;"완료",$H75&lt;&gt;"삭제",$H75&lt;&gt;"보류",$H75&lt;&gt;""),"⚠ 마감 초과",IF(AND($F75&lt;&gt;"",$F75&gt;$F$3,$H75="완료"),"⚡ 미래 날짜 완료 이상",""))</f>
        <v/>
      </c>
      <c r="J75" s="50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  <c r="EQ75" s="72"/>
      <c r="ER75" s="72"/>
      <c r="ES75" s="72"/>
      <c r="ET75" s="72"/>
      <c r="EU75" s="72"/>
      <c r="EV75" s="72"/>
      <c r="EW75" s="72"/>
      <c r="EX75" s="72"/>
      <c r="EY75" s="72"/>
      <c r="EZ75" s="72"/>
      <c r="FA75" s="72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72"/>
      <c r="FM75" s="72"/>
      <c r="FN75" s="72"/>
      <c r="FO75" s="72"/>
      <c r="FP75" s="72"/>
      <c r="FQ75" s="72"/>
      <c r="FR75" s="72"/>
      <c r="FS75" s="72"/>
      <c r="FT75" s="72"/>
      <c r="FU75" s="72"/>
      <c r="FV75" s="72"/>
      <c r="FW75" s="72"/>
      <c r="FX75" s="72"/>
      <c r="FY75" s="72"/>
      <c r="FZ75" s="72"/>
      <c r="GA75" s="72"/>
      <c r="GB75" s="72"/>
      <c r="GC75" s="72"/>
      <c r="GD75" s="72"/>
      <c r="GE75" s="72"/>
      <c r="GF75" s="72"/>
      <c r="GG75" s="72"/>
      <c r="GH75" s="72"/>
      <c r="GI75" s="72"/>
      <c r="GJ75" s="72"/>
      <c r="GK75" s="72"/>
      <c r="GL75" s="72"/>
      <c r="GM75" s="72"/>
      <c r="GN75" s="72"/>
      <c r="GO75" s="72"/>
      <c r="GP75" s="72"/>
      <c r="GQ75" s="72"/>
      <c r="GR75" s="72"/>
      <c r="GS75" s="72"/>
      <c r="GT75" s="72"/>
      <c r="GU75" s="72"/>
      <c r="GV75" s="72"/>
      <c r="GW75" s="72"/>
      <c r="GX75" s="72"/>
      <c r="GY75" s="72"/>
      <c r="GZ75" s="72"/>
      <c r="HA75" s="72"/>
      <c r="HB75" s="72"/>
      <c r="HC75" s="72"/>
      <c r="HD75" s="72"/>
      <c r="HE75" s="72"/>
      <c r="HF75" s="72"/>
      <c r="HG75" s="72"/>
      <c r="HH75" s="72"/>
      <c r="HI75" s="72"/>
      <c r="HJ75" s="72"/>
      <c r="HK75" s="72"/>
      <c r="HL75" s="72"/>
      <c r="HM75" s="72"/>
    </row>
    <row r="76" spans="1:221" outlineLevel="1">
      <c r="A76" s="49" t="s">
        <v>312</v>
      </c>
      <c r="B76" s="50" t="s">
        <v>461</v>
      </c>
      <c r="C76" s="51" t="s">
        <v>570</v>
      </c>
      <c r="D76" s="88" t="s">
        <v>572</v>
      </c>
      <c r="E76" s="52"/>
      <c r="F76" s="52"/>
      <c r="G76" s="53">
        <f>IF(OR($H76="삭제",$H76="작업대기",$H76="보류"),0,IF($H76="완료",1,IFERROR(MIN(0.99,MAX(0,($F$3-$E76)/($F76-$E76))),0)))</f>
        <v>1</v>
      </c>
      <c r="H76" s="51" t="s">
        <v>78</v>
      </c>
      <c r="I76" s="50" t="str">
        <f ca="1">IF(AND($F76&lt;&gt;"",$F76&lt;$F$3,$H76&lt;&gt;"완료",$H76&lt;&gt;"삭제",$H76&lt;&gt;"보류",$H76&lt;&gt;""),"⚠ 마감 초과",IF(AND($F76&lt;&gt;"",$F76&gt;$F$3,$H76="완료"),"⚡ 미래 날짜 완료 이상",""))</f>
        <v/>
      </c>
      <c r="J76" s="50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  <c r="HJ76" s="72"/>
      <c r="HK76" s="72"/>
      <c r="HL76" s="72"/>
      <c r="HM76" s="72"/>
    </row>
    <row r="77" spans="1:221" outlineLevel="1">
      <c r="A77" s="49" t="s">
        <v>313</v>
      </c>
      <c r="B77" s="50" t="s">
        <v>462</v>
      </c>
      <c r="C77" s="51" t="s">
        <v>570</v>
      </c>
      <c r="D77" s="88" t="s">
        <v>572</v>
      </c>
      <c r="E77" s="52"/>
      <c r="F77" s="52"/>
      <c r="G77" s="53">
        <f>IF(OR($H77="삭제",$H77="작업대기",$H77="보류"),0,IF($H77="완료",1,IFERROR(MIN(0.99,MAX(0,($F$3-$E77)/($F77-$E77))),0)))</f>
        <v>1</v>
      </c>
      <c r="H77" s="51" t="s">
        <v>78</v>
      </c>
      <c r="I77" s="50" t="str">
        <f ca="1">IF(AND($F77&lt;&gt;"",$F77&lt;$F$3,$H77&lt;&gt;"완료",$H77&lt;&gt;"삭제",$H77&lt;&gt;"보류",$H77&lt;&gt;""),"⚠ 마감 초과",IF(AND($F77&lt;&gt;"",$F77&gt;$F$3,$H77="완료"),"⚡ 미래 날짜 완료 이상",""))</f>
        <v/>
      </c>
      <c r="J77" s="50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  <c r="HJ77" s="72"/>
      <c r="HK77" s="72"/>
      <c r="HL77" s="72"/>
      <c r="HM77" s="72"/>
    </row>
    <row r="78" spans="1:221">
      <c r="A78" s="64" t="s">
        <v>392</v>
      </c>
      <c r="B78" s="65" t="s">
        <v>463</v>
      </c>
      <c r="C78" s="66"/>
      <c r="D78" s="66"/>
      <c r="E78" s="67">
        <f>IFERROR(IF(COUNT($E79:$E84)=0,"",_xlfn.MINIFS($E79:$E84,$C79:$C84,"&lt;&gt;",$H79:$H84,"&lt;&gt;삭제")),"")</f>
        <v>46244</v>
      </c>
      <c r="F78" s="67">
        <f>IFERROR(IF(COUNT($F79:$F84)=0,"",_xlfn.MAXIFS($F79:$F84,$C79:$C84,"&lt;&gt;",$H79:$H84,"&lt;&gt;삭제")),"")</f>
        <v>46276</v>
      </c>
      <c r="G78" s="68">
        <f>IFERROR(AVERAGEIFS(G79:G84,$C79:$C84,"&lt;&gt;",$H79:$H84,"&lt;&gt;삭제"),0)</f>
        <v>1</v>
      </c>
      <c r="H78" s="66" t="str">
        <f>IF($G78&gt;=1,"완료",IF($G78&gt;0,"진행중","작업대기"))</f>
        <v>완료</v>
      </c>
      <c r="I78" s="65"/>
      <c r="J78" s="65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72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  <c r="HJ78" s="72"/>
      <c r="HK78" s="72"/>
      <c r="HL78" s="72"/>
      <c r="HM78" s="72"/>
    </row>
    <row r="79" spans="1:221" outlineLevel="1">
      <c r="A79" s="49" t="s">
        <v>314</v>
      </c>
      <c r="B79" s="50" t="s">
        <v>464</v>
      </c>
      <c r="C79" s="51" t="s">
        <v>569</v>
      </c>
      <c r="D79" s="66"/>
      <c r="E79" s="52">
        <v>46244</v>
      </c>
      <c r="F79" s="52">
        <v>46255</v>
      </c>
      <c r="G79" s="53">
        <f t="shared" ref="G79:G84" si="12">IF(OR($H79="삭제",$H79="작업대기",$H79="보류"),0,IF($H79="완료",1,IFERROR(MIN(0.99,MAX(0,($F$3-$E79)/($F79-$E79))),0)))</f>
        <v>1</v>
      </c>
      <c r="H79" s="51" t="s">
        <v>78</v>
      </c>
      <c r="I79" s="50" t="str">
        <f t="shared" ref="I79:I84" ca="1" si="13">IF(AND($F79&lt;&gt;"",$F79&lt;$F$3,$H79&lt;&gt;"완료",$H79&lt;&gt;"삭제",$H79&lt;&gt;"보류",$H79&lt;&gt;""),"⚠ 마감 초과",IF(AND($F79&lt;&gt;"",$F79&gt;$F$3,$H79="완료"),"⚡ 미래 날짜 완료 이상",""))</f>
        <v/>
      </c>
      <c r="J79" s="50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  <c r="EQ79" s="72"/>
      <c r="ER79" s="72"/>
      <c r="ES79" s="72"/>
      <c r="ET79" s="72"/>
      <c r="EU79" s="72"/>
      <c r="EV79" s="72"/>
      <c r="EW79" s="72"/>
      <c r="EX79" s="72"/>
      <c r="EY79" s="72"/>
      <c r="EZ79" s="72"/>
      <c r="FA79" s="72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72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  <c r="HJ79" s="72"/>
      <c r="HK79" s="72"/>
      <c r="HL79" s="72"/>
      <c r="HM79" s="72"/>
    </row>
    <row r="80" spans="1:221" outlineLevel="1">
      <c r="A80" s="49" t="s">
        <v>315</v>
      </c>
      <c r="B80" s="50" t="s">
        <v>465</v>
      </c>
      <c r="C80" s="51" t="s">
        <v>569</v>
      </c>
      <c r="D80" s="66"/>
      <c r="E80" s="52">
        <v>46251</v>
      </c>
      <c r="F80" s="52">
        <v>46259</v>
      </c>
      <c r="G80" s="53">
        <f t="shared" si="12"/>
        <v>1</v>
      </c>
      <c r="H80" s="51" t="s">
        <v>78</v>
      </c>
      <c r="I80" s="50" t="str">
        <f t="shared" ca="1" si="13"/>
        <v/>
      </c>
      <c r="J80" s="50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72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</row>
    <row r="81" spans="1:221" outlineLevel="1">
      <c r="A81" s="49" t="s">
        <v>316</v>
      </c>
      <c r="B81" s="50" t="s">
        <v>466</v>
      </c>
      <c r="C81" s="51" t="s">
        <v>569</v>
      </c>
      <c r="D81" s="66"/>
      <c r="E81" s="52">
        <v>46251</v>
      </c>
      <c r="F81" s="52">
        <v>46259</v>
      </c>
      <c r="G81" s="53">
        <f t="shared" si="12"/>
        <v>1</v>
      </c>
      <c r="H81" s="51" t="s">
        <v>78</v>
      </c>
      <c r="I81" s="50" t="str">
        <f t="shared" ca="1" si="13"/>
        <v/>
      </c>
      <c r="J81" s="50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72"/>
      <c r="FM81" s="72"/>
      <c r="FN81" s="72"/>
      <c r="FO81" s="72"/>
      <c r="FP81" s="72"/>
      <c r="FQ81" s="72"/>
      <c r="FR81" s="72"/>
      <c r="FS81" s="72"/>
      <c r="FT81" s="72"/>
      <c r="FU81" s="72"/>
      <c r="FV81" s="72"/>
      <c r="FW81" s="72"/>
      <c r="FX81" s="72"/>
      <c r="FY81" s="72"/>
      <c r="FZ81" s="72"/>
      <c r="GA81" s="72"/>
      <c r="GB81" s="72"/>
      <c r="GC81" s="72"/>
      <c r="GD81" s="72"/>
      <c r="GE81" s="72"/>
      <c r="GF81" s="72"/>
      <c r="GG81" s="72"/>
      <c r="GH81" s="72"/>
      <c r="GI81" s="72"/>
      <c r="GJ81" s="72"/>
      <c r="GK81" s="72"/>
      <c r="GL81" s="72"/>
      <c r="GM81" s="72"/>
      <c r="GN81" s="72"/>
      <c r="GO81" s="72"/>
      <c r="GP81" s="72"/>
      <c r="GQ81" s="72"/>
      <c r="GR81" s="72"/>
      <c r="GS81" s="72"/>
      <c r="GT81" s="72"/>
      <c r="GU81" s="72"/>
      <c r="GV81" s="72"/>
      <c r="GW81" s="72"/>
      <c r="GX81" s="72"/>
      <c r="GY81" s="72"/>
      <c r="GZ81" s="72"/>
      <c r="HA81" s="72"/>
      <c r="HB81" s="72"/>
      <c r="HC81" s="72"/>
      <c r="HD81" s="72"/>
      <c r="HE81" s="72"/>
      <c r="HF81" s="72"/>
      <c r="HG81" s="72"/>
      <c r="HH81" s="72"/>
      <c r="HI81" s="72"/>
      <c r="HJ81" s="72"/>
      <c r="HK81" s="72"/>
      <c r="HL81" s="72"/>
      <c r="HM81" s="72"/>
    </row>
    <row r="82" spans="1:221" outlineLevel="1">
      <c r="A82" s="49" t="s">
        <v>317</v>
      </c>
      <c r="B82" s="50" t="s">
        <v>467</v>
      </c>
      <c r="C82" s="51" t="s">
        <v>569</v>
      </c>
      <c r="D82" s="66"/>
      <c r="E82" s="52">
        <v>46251</v>
      </c>
      <c r="F82" s="52">
        <v>46259</v>
      </c>
      <c r="G82" s="53">
        <f t="shared" si="12"/>
        <v>1</v>
      </c>
      <c r="H82" s="51" t="s">
        <v>78</v>
      </c>
      <c r="I82" s="50" t="str">
        <f t="shared" ca="1" si="13"/>
        <v/>
      </c>
      <c r="J82" s="50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72"/>
      <c r="FM82" s="72"/>
      <c r="FN82" s="72"/>
      <c r="FO82" s="72"/>
      <c r="FP82" s="72"/>
      <c r="FQ82" s="72"/>
      <c r="FR82" s="72"/>
      <c r="FS82" s="72"/>
      <c r="FT82" s="72"/>
      <c r="FU82" s="72"/>
      <c r="FV82" s="72"/>
      <c r="FW82" s="72"/>
      <c r="FX82" s="72"/>
      <c r="FY82" s="72"/>
      <c r="FZ82" s="72"/>
      <c r="GA82" s="72"/>
      <c r="GB82" s="72"/>
      <c r="GC82" s="72"/>
      <c r="GD82" s="72"/>
      <c r="GE82" s="72"/>
      <c r="GF82" s="72"/>
      <c r="GG82" s="72"/>
      <c r="GH82" s="72"/>
      <c r="GI82" s="72"/>
      <c r="GJ82" s="72"/>
      <c r="GK82" s="72"/>
      <c r="GL82" s="72"/>
      <c r="GM82" s="72"/>
      <c r="GN82" s="72"/>
      <c r="GO82" s="72"/>
      <c r="GP82" s="72"/>
      <c r="GQ82" s="72"/>
      <c r="GR82" s="72"/>
      <c r="GS82" s="72"/>
      <c r="GT82" s="72"/>
      <c r="GU82" s="72"/>
      <c r="GV82" s="72"/>
      <c r="GW82" s="72"/>
      <c r="GX82" s="72"/>
      <c r="GY82" s="72"/>
      <c r="GZ82" s="72"/>
      <c r="HA82" s="72"/>
      <c r="HB82" s="72"/>
      <c r="HC82" s="72"/>
      <c r="HD82" s="72"/>
      <c r="HE82" s="72"/>
      <c r="HF82" s="72"/>
      <c r="HG82" s="72"/>
      <c r="HH82" s="72"/>
      <c r="HI82" s="72"/>
      <c r="HJ82" s="72"/>
      <c r="HK82" s="72"/>
      <c r="HL82" s="72"/>
      <c r="HM82" s="72"/>
    </row>
    <row r="83" spans="1:221" outlineLevel="1">
      <c r="A83" s="49" t="s">
        <v>318</v>
      </c>
      <c r="B83" s="50" t="s">
        <v>468</v>
      </c>
      <c r="C83" s="51" t="s">
        <v>569</v>
      </c>
      <c r="D83" s="66"/>
      <c r="E83" s="52">
        <v>46251</v>
      </c>
      <c r="F83" s="52">
        <v>46259</v>
      </c>
      <c r="G83" s="53">
        <f t="shared" si="12"/>
        <v>1</v>
      </c>
      <c r="H83" s="51" t="s">
        <v>78</v>
      </c>
      <c r="I83" s="50" t="str">
        <f t="shared" ca="1" si="13"/>
        <v/>
      </c>
      <c r="J83" s="50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72"/>
      <c r="FM83" s="72"/>
      <c r="FN83" s="72"/>
      <c r="FO83" s="72"/>
      <c r="FP83" s="72"/>
      <c r="FQ83" s="72"/>
      <c r="FR83" s="72"/>
      <c r="FS83" s="72"/>
      <c r="FT83" s="72"/>
      <c r="FU83" s="72"/>
      <c r="FV83" s="72"/>
      <c r="FW83" s="72"/>
      <c r="FX83" s="72"/>
      <c r="FY83" s="72"/>
      <c r="FZ83" s="72"/>
      <c r="GA83" s="72"/>
      <c r="GB83" s="72"/>
      <c r="GC83" s="72"/>
      <c r="GD83" s="72"/>
      <c r="GE83" s="72"/>
      <c r="GF83" s="72"/>
      <c r="GG83" s="72"/>
      <c r="GH83" s="72"/>
      <c r="GI83" s="72"/>
      <c r="GJ83" s="72"/>
      <c r="GK83" s="72"/>
      <c r="GL83" s="72"/>
      <c r="GM83" s="72"/>
      <c r="GN83" s="72"/>
      <c r="GO83" s="72"/>
      <c r="GP83" s="72"/>
      <c r="GQ83" s="72"/>
      <c r="GR83" s="72"/>
      <c r="GS83" s="72"/>
      <c r="GT83" s="72"/>
      <c r="GU83" s="72"/>
      <c r="GV83" s="72"/>
      <c r="GW83" s="72"/>
      <c r="GX83" s="72"/>
      <c r="GY83" s="72"/>
      <c r="GZ83" s="72"/>
      <c r="HA83" s="72"/>
      <c r="HB83" s="72"/>
      <c r="HC83" s="72"/>
      <c r="HD83" s="72"/>
      <c r="HE83" s="72"/>
      <c r="HF83" s="72"/>
      <c r="HG83" s="72"/>
      <c r="HH83" s="72"/>
      <c r="HI83" s="72"/>
      <c r="HJ83" s="72"/>
      <c r="HK83" s="72"/>
      <c r="HL83" s="72"/>
      <c r="HM83" s="72"/>
    </row>
    <row r="84" spans="1:221" outlineLevel="1">
      <c r="A84" s="49" t="s">
        <v>319</v>
      </c>
      <c r="B84" s="50" t="s">
        <v>469</v>
      </c>
      <c r="C84" s="51" t="s">
        <v>569</v>
      </c>
      <c r="D84" s="51"/>
      <c r="E84" s="52">
        <v>46265</v>
      </c>
      <c r="F84" s="52">
        <v>46276</v>
      </c>
      <c r="G84" s="53">
        <f t="shared" si="12"/>
        <v>1</v>
      </c>
      <c r="H84" s="51" t="s">
        <v>78</v>
      </c>
      <c r="I84" s="50" t="str">
        <f t="shared" ca="1" si="13"/>
        <v/>
      </c>
      <c r="J84" s="50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72"/>
      <c r="FM84" s="72"/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2"/>
      <c r="GN84" s="72"/>
      <c r="GO84" s="72"/>
      <c r="GP84" s="72"/>
      <c r="GQ84" s="72"/>
      <c r="GR84" s="72"/>
      <c r="GS84" s="72"/>
      <c r="GT84" s="72"/>
      <c r="GU84" s="72"/>
      <c r="GV84" s="72"/>
      <c r="GW84" s="72"/>
      <c r="GX84" s="72"/>
      <c r="GY84" s="72"/>
      <c r="GZ84" s="72"/>
      <c r="HA84" s="72"/>
      <c r="HB84" s="72"/>
      <c r="HC84" s="72"/>
      <c r="HD84" s="72"/>
      <c r="HE84" s="72"/>
      <c r="HF84" s="72"/>
      <c r="HG84" s="72"/>
      <c r="HH84" s="72"/>
      <c r="HI84" s="72"/>
      <c r="HJ84" s="72"/>
      <c r="HK84" s="72"/>
      <c r="HL84" s="72"/>
      <c r="HM84" s="72"/>
    </row>
    <row r="85" spans="1:221">
      <c r="A85" s="64" t="s">
        <v>393</v>
      </c>
      <c r="B85" s="65" t="s">
        <v>470</v>
      </c>
      <c r="C85" s="66"/>
      <c r="D85" s="66"/>
      <c r="E85" s="67" t="str">
        <f>IFERROR(IF(COUNT($E86:$E88)=0,"",_xlfn.MINIFS($E86:$E88,$C86:$C89,"&lt;&gt;",$H86:$H89,"&lt;&gt;삭제")),"")</f>
        <v/>
      </c>
      <c r="F85" s="67">
        <f>IFERROR(IF(COUNT($F86:$F89)=0,"",_xlfn.MAXIFS($F86:$F89,$C86:$C89,"&lt;&gt;",$H86:$H89,"&lt;&gt;삭제")),"")</f>
        <v>46276</v>
      </c>
      <c r="G85" s="68">
        <f>IFERROR(AVERAGEIFS(G86:G89,$C86:$C89,"&lt;&gt;",$H86:$H89,"&lt;&gt;삭제"),0)</f>
        <v>0.75</v>
      </c>
      <c r="H85" s="66" t="str">
        <f>IF($G85&gt;=1,"완료",IF($G85&gt;0,"진행중","작업대기"))</f>
        <v>진행중</v>
      </c>
      <c r="I85" s="65"/>
      <c r="J85" s="65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</row>
    <row r="86" spans="1:221" outlineLevel="1">
      <c r="A86" s="49" t="s">
        <v>320</v>
      </c>
      <c r="B86" s="50" t="s">
        <v>471</v>
      </c>
      <c r="C86" s="51" t="s">
        <v>88</v>
      </c>
      <c r="D86" s="51" t="s">
        <v>562</v>
      </c>
      <c r="E86" s="52">
        <v>46272</v>
      </c>
      <c r="F86" s="52">
        <v>46276</v>
      </c>
      <c r="G86" s="53">
        <f>IF(OR($H86="삭제",$H86="작업대기",$H86="보류"),0,IF($H86="완료",1,IFERROR(MIN(0.99,MAX(0,($F$3-$E86)/($F86-$E86))),0)))</f>
        <v>1</v>
      </c>
      <c r="H86" s="51" t="s">
        <v>78</v>
      </c>
      <c r="I86" s="50" t="str">
        <f ca="1">IF(AND($F86&lt;&gt;"",$F86&lt;$F$3,$H86&lt;&gt;"완료",$H86&lt;&gt;"삭제",$H86&lt;&gt;"보류",$H86&lt;&gt;""),"⚠ 마감 초과",IF(AND($F86&lt;&gt;"",$F86&gt;$F$3,$H86="완료"),"⚡ 미래 날짜 완료 이상",""))</f>
        <v/>
      </c>
      <c r="J86" s="50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</row>
    <row r="87" spans="1:221" outlineLevel="1">
      <c r="A87" s="49" t="s">
        <v>321</v>
      </c>
      <c r="B87" s="50" t="s">
        <v>472</v>
      </c>
      <c r="C87" s="51" t="s">
        <v>88</v>
      </c>
      <c r="D87" s="51" t="s">
        <v>562</v>
      </c>
      <c r="E87" s="52">
        <v>46272</v>
      </c>
      <c r="F87" s="52">
        <v>46276</v>
      </c>
      <c r="G87" s="53">
        <f>IF(OR($H87="삭제",$H87="작업대기",$H87="보류"),0,IF($H87="완료",1,IFERROR(MIN(0.99,MAX(0,($F$3-$E87)/($F87-$E87))),0)))</f>
        <v>1</v>
      </c>
      <c r="H87" s="51" t="s">
        <v>259</v>
      </c>
      <c r="I87" s="50" t="str">
        <f ca="1">IF(AND($F87&lt;&gt;"",$F87&lt;$F$3,$H87&lt;&gt;"완료",$H87&lt;&gt;"삭제",$H87&lt;&gt;"보류",$H87&lt;&gt;""),"⚠ 마감 초과",IF(AND($F87&lt;&gt;"",$F87&gt;$F$3,$H87="완료"),"⚡ 미래 날짜 완료 이상",""))</f>
        <v/>
      </c>
      <c r="J87" s="50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</row>
    <row r="88" spans="1:221" outlineLevel="1">
      <c r="A88" s="49" t="s">
        <v>322</v>
      </c>
      <c r="B88" s="50" t="s">
        <v>473</v>
      </c>
      <c r="C88" s="51" t="s">
        <v>88</v>
      </c>
      <c r="D88" s="51" t="s">
        <v>562</v>
      </c>
      <c r="F88" s="52"/>
      <c r="G88" s="53">
        <f>IF(OR($H88="삭제",$H88="작업대기",$H88="보류"),0,IF($H88="완료",1,IFERROR(MIN(0.99,MAX(0,($F$3-#REF!)/($F88-#REF!))),0)))</f>
        <v>0</v>
      </c>
      <c r="H88" s="51" t="s">
        <v>369</v>
      </c>
      <c r="I88" s="50" t="str">
        <f ca="1">IF(AND($F88&lt;&gt;"",$F88&lt;$F$3,$H88&lt;&gt;"완료",$H88&lt;&gt;"삭제",$H88&lt;&gt;"보류",$H88&lt;&gt;""),"⚠ 마감 초과",IF(AND($F88&lt;&gt;"",$F88&gt;$F$3,$H88="완료"),"⚡ 미래 날짜 완료 이상",""))</f>
        <v/>
      </c>
      <c r="J88" s="50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</row>
    <row r="89" spans="1:221" outlineLevel="1">
      <c r="A89" s="49" t="s">
        <v>323</v>
      </c>
      <c r="B89" s="50" t="s">
        <v>474</v>
      </c>
      <c r="C89" s="51" t="s">
        <v>88</v>
      </c>
      <c r="D89" s="51" t="s">
        <v>562</v>
      </c>
      <c r="E89" s="52">
        <v>46272</v>
      </c>
      <c r="F89" s="52">
        <v>46276</v>
      </c>
      <c r="G89" s="53">
        <f>IF(OR($H89="삭제",$H89="작업대기",$H89="보류"),0,IF($H89="완료",1,IFERROR(MIN(0.99,MAX(0,($F$3-$E88)/($F89-$E88))),0)))</f>
        <v>1</v>
      </c>
      <c r="H89" s="51" t="s">
        <v>259</v>
      </c>
      <c r="I89" s="50" t="str">
        <f ca="1">IF(AND($F89&lt;&gt;"",$F89&lt;$F$3,$H89&lt;&gt;"완료",$H89&lt;&gt;"삭제",$H89&lt;&gt;"보류",$H89&lt;&gt;""),"⚠ 마감 초과",IF(AND($F89&lt;&gt;"",$F89&gt;$F$3,$H89="완료"),"⚡ 미래 날짜 완료 이상",""))</f>
        <v/>
      </c>
      <c r="J89" s="50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</row>
    <row r="90" spans="1:221">
      <c r="A90" s="64" t="s">
        <v>539</v>
      </c>
      <c r="B90" s="65" t="s">
        <v>475</v>
      </c>
      <c r="C90" s="66"/>
      <c r="D90" s="66"/>
      <c r="E90" s="67" t="str">
        <f>IFERROR(IF(COUNT($E91:$E93)=0,"",_xlfn.MINIFS($E91:$E93,$C91:$C93,"&lt;&gt;",$H91:$H93,"&lt;&gt;삭제")),"")</f>
        <v/>
      </c>
      <c r="F90" s="67" t="str">
        <f>IFERROR(IF(COUNT($F91:$F93)=0,"",_xlfn.MAXIFS($F91:$F93,$C91:$C93,"&lt;&gt;",$H91:$H93,"&lt;&gt;삭제")),"")</f>
        <v/>
      </c>
      <c r="G90" s="68">
        <f>IFERROR(AVERAGEIFS(G91:G93,$C91:$C93,"&lt;&gt;",$H91:$H93,"&lt;&gt;삭제"),0)</f>
        <v>0</v>
      </c>
      <c r="H90" s="66" t="str">
        <f>IF($G90&gt;=1,"완료",IF($G90&gt;0,"진행중","작업대기"))</f>
        <v>작업대기</v>
      </c>
      <c r="I90" s="65"/>
      <c r="J90" s="65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</row>
    <row r="91" spans="1:221" outlineLevel="1">
      <c r="A91" s="49" t="s">
        <v>324</v>
      </c>
      <c r="B91" s="50" t="s">
        <v>476</v>
      </c>
      <c r="C91" s="51" t="s">
        <v>570</v>
      </c>
      <c r="D91" s="88" t="s">
        <v>572</v>
      </c>
      <c r="E91" s="89"/>
      <c r="F91" s="52"/>
      <c r="G91" s="53">
        <f>IF(OR($H91="삭제",$H91="작업대기",$H91="보류"),0,IF($H91="완료",1,IFERROR(MIN(0.99,MAX(0,($F$3-$E91)/($F91-$E91))),0)))</f>
        <v>0</v>
      </c>
      <c r="H91" s="51" t="s">
        <v>106</v>
      </c>
      <c r="I91" s="50" t="str">
        <f ca="1">IF(AND($F91&lt;&gt;"",$F91&lt;$F$3,$H91&lt;&gt;"완료",$H91&lt;&gt;"삭제",$H91&lt;&gt;"보류",$H91&lt;&gt;""),"⚠ 마감 초과",IF(AND($F91&lt;&gt;"",$F91&gt;$F$3,$H91="완료"),"⚡ 미래 날짜 완료 이상",""))</f>
        <v/>
      </c>
      <c r="J91" s="50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</row>
    <row r="92" spans="1:221" outlineLevel="1">
      <c r="A92" s="49" t="s">
        <v>325</v>
      </c>
      <c r="B92" s="50" t="s">
        <v>477</v>
      </c>
      <c r="C92" s="51" t="s">
        <v>570</v>
      </c>
      <c r="D92" s="88" t="s">
        <v>572</v>
      </c>
      <c r="E92" s="52"/>
      <c r="F92" s="52"/>
      <c r="G92" s="53">
        <f>IF(OR($H92="삭제",$H92="작업대기",$H92="보류"),0,IF($H92="완료",1,IFERROR(MIN(0.99,MAX(0,($F$3-$E92)/($F92-$E92))),0)))</f>
        <v>0</v>
      </c>
      <c r="H92" s="51" t="s">
        <v>106</v>
      </c>
      <c r="I92" s="50" t="str">
        <f ca="1">IF(AND($F92&lt;&gt;"",$F92&lt;$F$3,$H92&lt;&gt;"완료",$H92&lt;&gt;"삭제",$H92&lt;&gt;"보류",$H92&lt;&gt;""),"⚠ 마감 초과",IF(AND($F92&lt;&gt;"",$F92&gt;$F$3,$H92="완료"),"⚡ 미래 날짜 완료 이상",""))</f>
        <v/>
      </c>
      <c r="J92" s="50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</row>
    <row r="93" spans="1:221" outlineLevel="1">
      <c r="A93" s="49" t="s">
        <v>326</v>
      </c>
      <c r="B93" s="50" t="s">
        <v>478</v>
      </c>
      <c r="C93" s="51" t="s">
        <v>570</v>
      </c>
      <c r="D93" s="88" t="s">
        <v>572</v>
      </c>
      <c r="E93" s="52"/>
      <c r="F93" s="52"/>
      <c r="G93" s="53">
        <f>IF(OR($H93="삭제",$H93="작업대기",$H93="보류"),0,IF($H93="완료",1,IFERROR(MIN(0.99,MAX(0,($F$3-$E93)/($F93-$E93))),0)))</f>
        <v>0</v>
      </c>
      <c r="H93" s="51" t="s">
        <v>106</v>
      </c>
      <c r="I93" s="50" t="str">
        <f ca="1">IF(AND($F93&lt;&gt;"",$F93&lt;$F$3,$H93&lt;&gt;"완료",$H93&lt;&gt;"삭제",$H93&lt;&gt;"보류",$H93&lt;&gt;""),"⚠ 마감 초과",IF(AND($F93&lt;&gt;"",$F93&gt;$F$3,$H93="완료"),"⚡ 미래 날짜 완료 이상",""))</f>
        <v/>
      </c>
      <c r="J93" s="50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</row>
    <row r="94" spans="1:221">
      <c r="A94" s="64" t="s">
        <v>540</v>
      </c>
      <c r="B94" s="65" t="s">
        <v>479</v>
      </c>
      <c r="C94" s="66"/>
      <c r="D94" s="66"/>
      <c r="E94" s="67" t="str">
        <f>IFERROR(IF(COUNT($E95:$E97)=0,"",_xlfn.MINIFS($E95:$E97,$C95:$C97,"&lt;&gt;",$H95:$H97,"&lt;&gt;삭제")),"")</f>
        <v/>
      </c>
      <c r="F94" s="67" t="str">
        <f>IFERROR(IF(COUNT($F95:$F97)=0,"",_xlfn.MAXIFS($F95:$F97,$C95:$C97,"&lt;&gt;",$H95:$H97,"&lt;&gt;삭제")),"")</f>
        <v/>
      </c>
      <c r="G94" s="68">
        <f>IFERROR(AVERAGEIFS(G95:G97,$C95:$C97,"&lt;&gt;",$H95:$H97,"&lt;&gt;삭제"),0)</f>
        <v>0</v>
      </c>
      <c r="H94" s="66" t="str">
        <f>IF($G94&gt;=1,"완료",IF($G94&gt;0,"진행중","작업대기"))</f>
        <v>작업대기</v>
      </c>
      <c r="I94" s="65"/>
      <c r="J94" s="65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  <c r="DY94" s="72"/>
      <c r="DZ94" s="72"/>
      <c r="EA94" s="72"/>
      <c r="EB94" s="72"/>
      <c r="EC94" s="72"/>
      <c r="ED94" s="72"/>
      <c r="EE94" s="72"/>
      <c r="EF94" s="72"/>
      <c r="EG94" s="72"/>
      <c r="EH94" s="72"/>
      <c r="EI94" s="72"/>
      <c r="EJ94" s="72"/>
      <c r="EK94" s="72"/>
      <c r="EL94" s="72"/>
      <c r="EM94" s="72"/>
      <c r="EN94" s="72"/>
      <c r="EO94" s="72"/>
      <c r="EP94" s="72"/>
      <c r="EQ94" s="72"/>
      <c r="ER94" s="72"/>
      <c r="ES94" s="72"/>
      <c r="ET94" s="72"/>
      <c r="EU94" s="72"/>
      <c r="EV94" s="72"/>
      <c r="EW94" s="72"/>
      <c r="EX94" s="72"/>
      <c r="EY94" s="72"/>
      <c r="EZ94" s="72"/>
      <c r="FA94" s="72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72"/>
      <c r="FM94" s="72"/>
      <c r="FN94" s="72"/>
      <c r="FO94" s="72"/>
      <c r="FP94" s="72"/>
      <c r="FQ94" s="72"/>
      <c r="FR94" s="72"/>
      <c r="FS94" s="72"/>
      <c r="FT94" s="72"/>
      <c r="FU94" s="72"/>
      <c r="FV94" s="72"/>
      <c r="FW94" s="72"/>
      <c r="FX94" s="72"/>
      <c r="FY94" s="72"/>
      <c r="FZ94" s="72"/>
      <c r="GA94" s="72"/>
      <c r="GB94" s="72"/>
      <c r="GC94" s="72"/>
      <c r="GD94" s="72"/>
      <c r="GE94" s="72"/>
      <c r="GF94" s="72"/>
      <c r="GG94" s="72"/>
      <c r="GH94" s="72"/>
      <c r="GI94" s="72"/>
      <c r="GJ94" s="72"/>
      <c r="GK94" s="72"/>
      <c r="GL94" s="72"/>
      <c r="GM94" s="72"/>
      <c r="GN94" s="72"/>
      <c r="GO94" s="72"/>
      <c r="GP94" s="72"/>
      <c r="GQ94" s="72"/>
      <c r="GR94" s="72"/>
      <c r="GS94" s="72"/>
      <c r="GT94" s="72"/>
      <c r="GU94" s="72"/>
      <c r="GV94" s="72"/>
      <c r="GW94" s="72"/>
      <c r="GX94" s="72"/>
      <c r="GY94" s="72"/>
      <c r="GZ94" s="72"/>
      <c r="HA94" s="72"/>
      <c r="HB94" s="72"/>
      <c r="HC94" s="72"/>
      <c r="HD94" s="72"/>
      <c r="HE94" s="72"/>
      <c r="HF94" s="72"/>
      <c r="HG94" s="72"/>
      <c r="HH94" s="72"/>
      <c r="HI94" s="72"/>
      <c r="HJ94" s="72"/>
      <c r="HK94" s="72"/>
      <c r="HL94" s="72"/>
      <c r="HM94" s="72"/>
    </row>
    <row r="95" spans="1:221" outlineLevel="1">
      <c r="A95" s="49" t="s">
        <v>327</v>
      </c>
      <c r="B95" s="50" t="s">
        <v>480</v>
      </c>
      <c r="C95" s="51" t="s">
        <v>574</v>
      </c>
      <c r="D95" s="66"/>
      <c r="E95" s="52"/>
      <c r="F95" s="52"/>
      <c r="G95" s="53">
        <f>IF(OR($H95="삭제",$H95="작업대기",$H95="보류"),0,IF($H95="완료",1,IFERROR(MIN(0.99,MAX(0,($F$3-$E95)/($F95-$E95))),0)))</f>
        <v>0</v>
      </c>
      <c r="H95" s="51" t="s">
        <v>106</v>
      </c>
      <c r="I95" s="50" t="str">
        <f ca="1">IF(AND($F95&lt;&gt;"",$F95&lt;$F$3,$H95&lt;&gt;"완료",$H95&lt;&gt;"삭제",$H95&lt;&gt;"보류",$H95&lt;&gt;""),"⚠ 마감 초과",IF(AND($F95&lt;&gt;"",$F95&gt;$F$3,$H95="완료"),"⚡ 미래 날짜 완료 이상",""))</f>
        <v/>
      </c>
      <c r="J95" s="50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  <c r="DY95" s="72"/>
      <c r="DZ95" s="72"/>
      <c r="EA95" s="72"/>
      <c r="EB95" s="72"/>
      <c r="EC95" s="72"/>
      <c r="ED95" s="72"/>
      <c r="EE95" s="72"/>
      <c r="EF95" s="72"/>
      <c r="EG95" s="72"/>
      <c r="EH95" s="72"/>
      <c r="EI95" s="72"/>
      <c r="EJ95" s="72"/>
      <c r="EK95" s="72"/>
      <c r="EL95" s="72"/>
      <c r="EM95" s="72"/>
      <c r="EN95" s="72"/>
      <c r="EO95" s="72"/>
      <c r="EP95" s="72"/>
      <c r="EQ95" s="72"/>
      <c r="ER95" s="72"/>
      <c r="ES95" s="72"/>
      <c r="ET95" s="72"/>
      <c r="EU95" s="72"/>
      <c r="EV95" s="72"/>
      <c r="EW95" s="72"/>
      <c r="EX95" s="72"/>
      <c r="EY95" s="72"/>
      <c r="EZ95" s="72"/>
      <c r="FA95" s="72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72"/>
      <c r="FM95" s="72"/>
      <c r="FN95" s="72"/>
      <c r="FO95" s="72"/>
      <c r="FP95" s="72"/>
      <c r="FQ95" s="72"/>
      <c r="FR95" s="72"/>
      <c r="FS95" s="72"/>
      <c r="FT95" s="72"/>
      <c r="FU95" s="72"/>
      <c r="FV95" s="72"/>
      <c r="FW95" s="72"/>
      <c r="FX95" s="72"/>
      <c r="FY95" s="72"/>
      <c r="FZ95" s="72"/>
      <c r="GA95" s="72"/>
      <c r="GB95" s="72"/>
      <c r="GC95" s="72"/>
      <c r="GD95" s="72"/>
      <c r="GE95" s="72"/>
      <c r="GF95" s="72"/>
      <c r="GG95" s="72"/>
      <c r="GH95" s="72"/>
      <c r="GI95" s="72"/>
      <c r="GJ95" s="72"/>
      <c r="GK95" s="72"/>
      <c r="GL95" s="72"/>
      <c r="GM95" s="72"/>
      <c r="GN95" s="72"/>
      <c r="GO95" s="72"/>
      <c r="GP95" s="72"/>
      <c r="GQ95" s="72"/>
      <c r="GR95" s="72"/>
      <c r="GS95" s="72"/>
      <c r="GT95" s="72"/>
      <c r="GU95" s="72"/>
      <c r="GV95" s="72"/>
      <c r="GW95" s="72"/>
      <c r="GX95" s="72"/>
      <c r="GY95" s="72"/>
      <c r="GZ95" s="72"/>
      <c r="HA95" s="72"/>
      <c r="HB95" s="72"/>
      <c r="HC95" s="72"/>
      <c r="HD95" s="72"/>
      <c r="HE95" s="72"/>
      <c r="HF95" s="72"/>
      <c r="HG95" s="72"/>
      <c r="HH95" s="72"/>
      <c r="HI95" s="72"/>
      <c r="HJ95" s="72"/>
      <c r="HK95" s="72"/>
      <c r="HL95" s="72"/>
      <c r="HM95" s="72"/>
    </row>
    <row r="96" spans="1:221" outlineLevel="1">
      <c r="A96" s="49" t="s">
        <v>328</v>
      </c>
      <c r="B96" s="50" t="s">
        <v>481</v>
      </c>
      <c r="C96" s="51" t="s">
        <v>574</v>
      </c>
      <c r="D96" s="66"/>
      <c r="E96" s="52"/>
      <c r="F96" s="52"/>
      <c r="G96" s="53">
        <f>IF(OR($H96="삭제",$H96="작업대기",$H96="보류"),0,IF($H96="완료",1,IFERROR(MIN(0.99,MAX(0,($F$3-$E96)/($F96-$E96))),0)))</f>
        <v>0</v>
      </c>
      <c r="H96" s="51" t="s">
        <v>106</v>
      </c>
      <c r="I96" s="50" t="str">
        <f ca="1">IF(AND($F96&lt;&gt;"",$F96&lt;$F$3,$H96&lt;&gt;"완료",$H96&lt;&gt;"삭제",$H96&lt;&gt;"보류",$H96&lt;&gt;""),"⚠ 마감 초과",IF(AND($F96&lt;&gt;"",$F96&gt;$F$3,$H96="완료"),"⚡ 미래 날짜 완료 이상",""))</f>
        <v/>
      </c>
      <c r="J96" s="50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72"/>
      <c r="FM96" s="72"/>
      <c r="FN96" s="72"/>
      <c r="FO96" s="72"/>
      <c r="FP96" s="72"/>
      <c r="FQ96" s="72"/>
      <c r="FR96" s="72"/>
      <c r="FS96" s="72"/>
      <c r="FT96" s="72"/>
      <c r="FU96" s="72"/>
      <c r="FV96" s="72"/>
      <c r="FW96" s="72"/>
      <c r="FX96" s="72"/>
      <c r="FY96" s="72"/>
      <c r="FZ96" s="72"/>
      <c r="GA96" s="72"/>
      <c r="GB96" s="72"/>
      <c r="GC96" s="72"/>
      <c r="GD96" s="72"/>
      <c r="GE96" s="72"/>
      <c r="GF96" s="72"/>
      <c r="GG96" s="72"/>
      <c r="GH96" s="72"/>
      <c r="GI96" s="72"/>
      <c r="GJ96" s="72"/>
      <c r="GK96" s="72"/>
      <c r="GL96" s="72"/>
      <c r="GM96" s="72"/>
      <c r="GN96" s="72"/>
      <c r="GO96" s="72"/>
      <c r="GP96" s="72"/>
      <c r="GQ96" s="72"/>
      <c r="GR96" s="72"/>
      <c r="GS96" s="72"/>
      <c r="GT96" s="72"/>
      <c r="GU96" s="72"/>
      <c r="GV96" s="72"/>
      <c r="GW96" s="72"/>
      <c r="GX96" s="72"/>
      <c r="GY96" s="72"/>
      <c r="GZ96" s="72"/>
      <c r="HA96" s="72"/>
      <c r="HB96" s="72"/>
      <c r="HC96" s="72"/>
      <c r="HD96" s="72"/>
      <c r="HE96" s="72"/>
      <c r="HF96" s="72"/>
      <c r="HG96" s="72"/>
      <c r="HH96" s="72"/>
      <c r="HI96" s="72"/>
      <c r="HJ96" s="72"/>
      <c r="HK96" s="72"/>
      <c r="HL96" s="72"/>
      <c r="HM96" s="72"/>
    </row>
    <row r="97" spans="1:221" outlineLevel="1">
      <c r="A97" s="49" t="s">
        <v>329</v>
      </c>
      <c r="B97" s="50" t="s">
        <v>482</v>
      </c>
      <c r="C97" s="51" t="s">
        <v>574</v>
      </c>
      <c r="D97" s="66"/>
      <c r="E97" s="52"/>
      <c r="F97" s="52"/>
      <c r="G97" s="53">
        <f>IF(OR($H97="삭제",$H97="작업대기",$H97="보류"),0,IF($H97="완료",1,IFERROR(MIN(0.99,MAX(0,($F$3-$E97)/($F97-$E97))),0)))</f>
        <v>0</v>
      </c>
      <c r="H97" s="51" t="s">
        <v>106</v>
      </c>
      <c r="I97" s="50" t="str">
        <f ca="1">IF(AND($F97&lt;&gt;"",$F97&lt;$F$3,$H97&lt;&gt;"완료",$H97&lt;&gt;"삭제",$H97&lt;&gt;"보류",$H97&lt;&gt;""),"⚠ 마감 초과",IF(AND($F97&lt;&gt;"",$F97&gt;$F$3,$H97="완료"),"⚡ 미래 날짜 완료 이상",""))</f>
        <v/>
      </c>
      <c r="J97" s="50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  <c r="DY97" s="72"/>
      <c r="DZ97" s="72"/>
      <c r="EA97" s="72"/>
      <c r="EB97" s="72"/>
      <c r="EC97" s="72"/>
      <c r="ED97" s="72"/>
      <c r="EE97" s="72"/>
      <c r="EF97" s="72"/>
      <c r="EG97" s="72"/>
      <c r="EH97" s="72"/>
      <c r="EI97" s="72"/>
      <c r="EJ97" s="72"/>
      <c r="EK97" s="72"/>
      <c r="EL97" s="72"/>
      <c r="EM97" s="72"/>
      <c r="EN97" s="72"/>
      <c r="EO97" s="72"/>
      <c r="EP97" s="72"/>
      <c r="EQ97" s="72"/>
      <c r="ER97" s="72"/>
      <c r="ES97" s="72"/>
      <c r="ET97" s="72"/>
      <c r="EU97" s="72"/>
      <c r="EV97" s="72"/>
      <c r="EW97" s="72"/>
      <c r="EX97" s="72"/>
      <c r="EY97" s="72"/>
      <c r="EZ97" s="72"/>
      <c r="FA97" s="72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72"/>
      <c r="FM97" s="72"/>
      <c r="FN97" s="72"/>
      <c r="FO97" s="72"/>
      <c r="FP97" s="72"/>
      <c r="FQ97" s="72"/>
      <c r="FR97" s="72"/>
      <c r="FS97" s="72"/>
      <c r="FT97" s="72"/>
      <c r="FU97" s="72"/>
      <c r="FV97" s="72"/>
      <c r="FW97" s="72"/>
      <c r="FX97" s="72"/>
      <c r="FY97" s="72"/>
      <c r="FZ97" s="72"/>
      <c r="GA97" s="72"/>
      <c r="GB97" s="72"/>
      <c r="GC97" s="72"/>
      <c r="GD97" s="72"/>
      <c r="GE97" s="72"/>
      <c r="GF97" s="72"/>
      <c r="GG97" s="72"/>
      <c r="GH97" s="72"/>
      <c r="GI97" s="72"/>
      <c r="GJ97" s="72"/>
      <c r="GK97" s="72"/>
      <c r="GL97" s="72"/>
      <c r="GM97" s="72"/>
      <c r="GN97" s="72"/>
      <c r="GO97" s="72"/>
      <c r="GP97" s="72"/>
      <c r="GQ97" s="72"/>
      <c r="GR97" s="72"/>
      <c r="GS97" s="72"/>
      <c r="GT97" s="72"/>
      <c r="GU97" s="72"/>
      <c r="GV97" s="72"/>
      <c r="GW97" s="72"/>
      <c r="GX97" s="72"/>
      <c r="GY97" s="72"/>
      <c r="GZ97" s="72"/>
      <c r="HA97" s="72"/>
      <c r="HB97" s="72"/>
      <c r="HC97" s="72"/>
      <c r="HD97" s="72"/>
      <c r="HE97" s="72"/>
      <c r="HF97" s="72"/>
      <c r="HG97" s="72"/>
      <c r="HH97" s="72"/>
      <c r="HI97" s="72"/>
      <c r="HJ97" s="72"/>
      <c r="HK97" s="72"/>
      <c r="HL97" s="72"/>
      <c r="HM97" s="72"/>
    </row>
    <row r="98" spans="1:221">
      <c r="A98" s="59" t="s">
        <v>541</v>
      </c>
      <c r="B98" s="60" t="s">
        <v>575</v>
      </c>
      <c r="C98" s="61"/>
      <c r="D98" s="61"/>
      <c r="E98" s="62">
        <f>IFERROR(IF(COUNT($E100:$E110)=0,"",_xlfn.MINIFS($E100:$E110,$C100:$C110,"&lt;&gt;",$H100:$H110,"&lt;&gt;삭제")),"")</f>
        <v>46244</v>
      </c>
      <c r="F98" s="62">
        <f>IFERROR(IF(COUNT($F100:$F110)=0,"",_xlfn.MAXIFS($F100:$F110,$C100:$C110,"&lt;&gt;",$H100:$H110,"&lt;&gt;삭제")),"")</f>
        <v>46269</v>
      </c>
      <c r="G98" s="63">
        <f>IFERROR(AVERAGEIFS(G99:G110,$C99:$C110,"&lt;&gt;",$H99:$H110,"&lt;&gt;삭제"),0)</f>
        <v>0.66666666666666663</v>
      </c>
      <c r="H98" s="61" t="str">
        <f>IF($G98&gt;=1,"완료",IF($G98&gt;0,"진행중","작업대기"))</f>
        <v>진행중</v>
      </c>
      <c r="I98" s="60"/>
      <c r="J98" s="60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  <c r="DY98" s="72"/>
      <c r="DZ98" s="72"/>
      <c r="EA98" s="72"/>
      <c r="EB98" s="72"/>
      <c r="EC98" s="72"/>
      <c r="ED98" s="72"/>
      <c r="EE98" s="72"/>
      <c r="EF98" s="72"/>
      <c r="EG98" s="72"/>
      <c r="EH98" s="72"/>
      <c r="EI98" s="72"/>
      <c r="EJ98" s="72"/>
      <c r="EK98" s="72"/>
      <c r="EL98" s="72"/>
      <c r="EM98" s="72"/>
      <c r="EN98" s="72"/>
      <c r="EO98" s="72"/>
      <c r="EP98" s="72"/>
      <c r="EQ98" s="72"/>
      <c r="ER98" s="72"/>
      <c r="ES98" s="72"/>
      <c r="ET98" s="72"/>
      <c r="EU98" s="72"/>
      <c r="EV98" s="72"/>
      <c r="EW98" s="72"/>
      <c r="EX98" s="72"/>
      <c r="EY98" s="72"/>
      <c r="EZ98" s="72"/>
      <c r="FA98" s="72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72"/>
      <c r="FM98" s="72"/>
      <c r="FN98" s="72"/>
      <c r="FO98" s="72"/>
      <c r="FP98" s="72"/>
      <c r="FQ98" s="72"/>
      <c r="FR98" s="72"/>
      <c r="FS98" s="72"/>
      <c r="FT98" s="72"/>
      <c r="FU98" s="72"/>
      <c r="FV98" s="72"/>
      <c r="FW98" s="72"/>
      <c r="FX98" s="72"/>
      <c r="FY98" s="72"/>
      <c r="FZ98" s="72"/>
      <c r="GA98" s="72"/>
      <c r="GB98" s="72"/>
      <c r="GC98" s="72"/>
      <c r="GD98" s="72"/>
      <c r="GE98" s="72"/>
      <c r="GF98" s="72"/>
      <c r="GG98" s="72"/>
      <c r="GH98" s="72"/>
      <c r="GI98" s="72"/>
      <c r="GJ98" s="72"/>
      <c r="GK98" s="72"/>
      <c r="GL98" s="72"/>
      <c r="GM98" s="72"/>
      <c r="GN98" s="72"/>
      <c r="GO98" s="72"/>
      <c r="GP98" s="72"/>
      <c r="GQ98" s="72"/>
      <c r="GR98" s="72"/>
      <c r="GS98" s="72"/>
      <c r="GT98" s="72"/>
      <c r="GU98" s="72"/>
      <c r="GV98" s="72"/>
      <c r="GW98" s="72"/>
      <c r="GX98" s="72"/>
      <c r="GY98" s="72"/>
      <c r="GZ98" s="72"/>
      <c r="HA98" s="72"/>
      <c r="HB98" s="72"/>
      <c r="HC98" s="72"/>
      <c r="HD98" s="72"/>
      <c r="HE98" s="72"/>
      <c r="HF98" s="72"/>
      <c r="HG98" s="72"/>
      <c r="HH98" s="72"/>
      <c r="HI98" s="72"/>
      <c r="HJ98" s="72"/>
      <c r="HK98" s="72"/>
      <c r="HL98" s="72"/>
      <c r="HM98" s="72"/>
    </row>
    <row r="99" spans="1:221">
      <c r="A99" s="64" t="s">
        <v>542</v>
      </c>
      <c r="B99" s="65" t="s">
        <v>483</v>
      </c>
      <c r="C99" s="66"/>
      <c r="D99" s="66"/>
      <c r="E99" s="67">
        <f>IFERROR(IF(COUNT($E100:$E102)=0,"",_xlfn.MINIFS($E100:$E102,$C100:$C102,"&lt;&gt;",$H100:$H102,"&lt;&gt;삭제")),"")</f>
        <v>46244</v>
      </c>
      <c r="F99" s="67">
        <f>IFERROR(IF(COUNT($F100:$F102)=0,"",_xlfn.MAXIFS($F100:$F102,$C100:$C102,"&lt;&gt;",$H100:$H102,"&lt;&gt;삭제")),"")</f>
        <v>46248</v>
      </c>
      <c r="G99" s="68">
        <f>IFERROR(AVERAGEIFS(G100:G102,$C100:$C102,"&lt;&gt;",$H100:$H102,"&lt;&gt;삭제"),0)</f>
        <v>1</v>
      </c>
      <c r="H99" s="66" t="str">
        <f>IF($G99&gt;=1,"완료",IF($G99&gt;0,"진행중","작업대기"))</f>
        <v>완료</v>
      </c>
      <c r="I99" s="65"/>
      <c r="J99" s="65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  <c r="DY99" s="72"/>
      <c r="DZ99" s="72"/>
      <c r="EA99" s="72"/>
      <c r="EB99" s="72"/>
      <c r="EC99" s="72"/>
      <c r="ED99" s="72"/>
      <c r="EE99" s="72"/>
      <c r="EF99" s="72"/>
      <c r="EG99" s="72"/>
      <c r="EH99" s="72"/>
      <c r="EI99" s="72"/>
      <c r="EJ99" s="72"/>
      <c r="EK99" s="72"/>
      <c r="EL99" s="72"/>
      <c r="EM99" s="72"/>
      <c r="EN99" s="72"/>
      <c r="EO99" s="72"/>
      <c r="EP99" s="72"/>
      <c r="EQ99" s="72"/>
      <c r="ER99" s="72"/>
      <c r="ES99" s="72"/>
      <c r="ET99" s="72"/>
      <c r="EU99" s="72"/>
      <c r="EV99" s="72"/>
      <c r="EW99" s="72"/>
      <c r="EX99" s="72"/>
      <c r="EY99" s="72"/>
      <c r="EZ99" s="72"/>
      <c r="FA99" s="72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72"/>
      <c r="FM99" s="72"/>
      <c r="FN99" s="72"/>
      <c r="FO99" s="72"/>
      <c r="FP99" s="72"/>
      <c r="FQ99" s="72"/>
      <c r="FR99" s="72"/>
      <c r="FS99" s="72"/>
      <c r="FT99" s="72"/>
      <c r="FU99" s="72"/>
      <c r="FV99" s="72"/>
      <c r="FW99" s="72"/>
      <c r="FX99" s="72"/>
      <c r="FY99" s="72"/>
      <c r="FZ99" s="72"/>
      <c r="GA99" s="72"/>
      <c r="GB99" s="72"/>
      <c r="GC99" s="72"/>
      <c r="GD99" s="72"/>
      <c r="GE99" s="72"/>
      <c r="GF99" s="72"/>
      <c r="GG99" s="72"/>
      <c r="GH99" s="72"/>
      <c r="GI99" s="72"/>
      <c r="GJ99" s="72"/>
      <c r="GK99" s="72"/>
      <c r="GL99" s="72"/>
      <c r="GM99" s="72"/>
      <c r="GN99" s="72"/>
      <c r="GO99" s="72"/>
      <c r="GP99" s="72"/>
      <c r="GQ99" s="72"/>
      <c r="GR99" s="72"/>
      <c r="GS99" s="72"/>
      <c r="GT99" s="72"/>
      <c r="GU99" s="72"/>
      <c r="GV99" s="72"/>
      <c r="GW99" s="72"/>
      <c r="GX99" s="72"/>
      <c r="GY99" s="72"/>
      <c r="GZ99" s="72"/>
      <c r="HA99" s="72"/>
      <c r="HB99" s="72"/>
      <c r="HC99" s="72"/>
      <c r="HD99" s="72"/>
      <c r="HE99" s="72"/>
      <c r="HF99" s="72"/>
      <c r="HG99" s="72"/>
      <c r="HH99" s="72"/>
      <c r="HI99" s="72"/>
      <c r="HJ99" s="72"/>
      <c r="HK99" s="72"/>
      <c r="HL99" s="72"/>
      <c r="HM99" s="72"/>
    </row>
    <row r="100" spans="1:221" outlineLevel="1">
      <c r="A100" s="49" t="s">
        <v>330</v>
      </c>
      <c r="B100" s="50" t="s">
        <v>484</v>
      </c>
      <c r="C100" s="51" t="s">
        <v>146</v>
      </c>
      <c r="D100" s="51" t="s">
        <v>563</v>
      </c>
      <c r="E100" s="52">
        <v>46244</v>
      </c>
      <c r="F100" s="52">
        <v>46248</v>
      </c>
      <c r="G100" s="53">
        <f>IF(OR($H100="삭제",$H100="작업대기",$H100="보류"),0,IF($H100="완료",1,IFERROR(MIN(0.99,MAX(0,($F$3-$E100)/($F100-$E100))),0)))</f>
        <v>1</v>
      </c>
      <c r="H100" s="51" t="s">
        <v>78</v>
      </c>
      <c r="I100" s="50" t="str">
        <f ca="1">IF(AND($F100&lt;&gt;"",$F100&lt;$F$3,$H100&lt;&gt;"완료",$H100&lt;&gt;"삭제",$H100&lt;&gt;"보류",$H100&lt;&gt;""),"⚠ 마감 초과",IF(AND($F100&lt;&gt;"",$F100&gt;$F$3,$H100="완료"),"⚡ 미래 날짜 완료 이상",""))</f>
        <v/>
      </c>
      <c r="J100" s="50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  <c r="DY100" s="72"/>
      <c r="DZ100" s="72"/>
      <c r="EA100" s="72"/>
      <c r="EB100" s="72"/>
      <c r="EC100" s="72"/>
      <c r="ED100" s="72"/>
      <c r="EE100" s="72"/>
      <c r="EF100" s="72"/>
      <c r="EG100" s="72"/>
      <c r="EH100" s="72"/>
      <c r="EI100" s="72"/>
      <c r="EJ100" s="72"/>
      <c r="EK100" s="72"/>
      <c r="EL100" s="72"/>
      <c r="EM100" s="72"/>
      <c r="EN100" s="72"/>
      <c r="EO100" s="72"/>
      <c r="EP100" s="72"/>
      <c r="EQ100" s="72"/>
      <c r="ER100" s="72"/>
      <c r="ES100" s="72"/>
      <c r="ET100" s="72"/>
      <c r="EU100" s="72"/>
      <c r="EV100" s="72"/>
      <c r="EW100" s="72"/>
      <c r="EX100" s="72"/>
      <c r="EY100" s="72"/>
      <c r="EZ100" s="72"/>
      <c r="FA100" s="72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72"/>
      <c r="FM100" s="72"/>
      <c r="FN100" s="72"/>
      <c r="FO100" s="72"/>
      <c r="FP100" s="72"/>
      <c r="FQ100" s="72"/>
      <c r="FR100" s="72"/>
      <c r="FS100" s="72"/>
      <c r="FT100" s="72"/>
      <c r="FU100" s="72"/>
      <c r="FV100" s="72"/>
      <c r="FW100" s="72"/>
      <c r="FX100" s="72"/>
      <c r="FY100" s="72"/>
      <c r="FZ100" s="72"/>
      <c r="GA100" s="72"/>
      <c r="GB100" s="72"/>
      <c r="GC100" s="72"/>
      <c r="GD100" s="72"/>
      <c r="GE100" s="72"/>
      <c r="GF100" s="72"/>
      <c r="GG100" s="72"/>
      <c r="GH100" s="72"/>
      <c r="GI100" s="72"/>
      <c r="GJ100" s="72"/>
      <c r="GK100" s="72"/>
      <c r="GL100" s="72"/>
      <c r="GM100" s="72"/>
      <c r="GN100" s="72"/>
      <c r="GO100" s="72"/>
      <c r="GP100" s="72"/>
      <c r="GQ100" s="72"/>
      <c r="GR100" s="72"/>
      <c r="GS100" s="72"/>
      <c r="GT100" s="72"/>
      <c r="GU100" s="72"/>
      <c r="GV100" s="72"/>
      <c r="GW100" s="72"/>
      <c r="GX100" s="72"/>
      <c r="GY100" s="72"/>
      <c r="GZ100" s="72"/>
      <c r="HA100" s="72"/>
      <c r="HB100" s="72"/>
      <c r="HC100" s="72"/>
      <c r="HD100" s="72"/>
      <c r="HE100" s="72"/>
      <c r="HF100" s="72"/>
      <c r="HG100" s="72"/>
      <c r="HH100" s="72"/>
      <c r="HI100" s="72"/>
      <c r="HJ100" s="72"/>
      <c r="HK100" s="72"/>
      <c r="HL100" s="72"/>
      <c r="HM100" s="72"/>
    </row>
    <row r="101" spans="1:221" outlineLevel="1">
      <c r="A101" s="49" t="s">
        <v>331</v>
      </c>
      <c r="B101" s="50" t="s">
        <v>485</v>
      </c>
      <c r="C101" s="51" t="s">
        <v>146</v>
      </c>
      <c r="D101" s="51" t="s">
        <v>563</v>
      </c>
      <c r="E101" s="52">
        <v>46244</v>
      </c>
      <c r="F101" s="52">
        <v>46248</v>
      </c>
      <c r="G101" s="53">
        <f>IF(OR($H101="삭제",$H101="작업대기",$H101="보류"),0,IF($H101="완료",1,IFERROR(MIN(0.99,MAX(0,($F$3-$E101)/($F101-$E101))),0)))</f>
        <v>1</v>
      </c>
      <c r="H101" s="51" t="s">
        <v>78</v>
      </c>
      <c r="I101" s="50" t="str">
        <f ca="1">IF(AND($F101&lt;&gt;"",$F101&lt;$F$3,$H101&lt;&gt;"완료",$H101&lt;&gt;"삭제",$H101&lt;&gt;"보류",$H101&lt;&gt;""),"⚠ 마감 초과",IF(AND($F101&lt;&gt;"",$F101&gt;$F$3,$H101="완료"),"⚡ 미래 날짜 완료 이상",""))</f>
        <v/>
      </c>
      <c r="J101" s="50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  <c r="DY101" s="72"/>
      <c r="DZ101" s="72"/>
      <c r="EA101" s="72"/>
      <c r="EB101" s="72"/>
      <c r="EC101" s="72"/>
      <c r="ED101" s="72"/>
      <c r="EE101" s="72"/>
      <c r="EF101" s="72"/>
      <c r="EG101" s="72"/>
      <c r="EH101" s="72"/>
      <c r="EI101" s="72"/>
      <c r="EJ101" s="72"/>
      <c r="EK101" s="72"/>
      <c r="EL101" s="72"/>
      <c r="EM101" s="72"/>
      <c r="EN101" s="72"/>
      <c r="EO101" s="72"/>
      <c r="EP101" s="72"/>
      <c r="EQ101" s="72"/>
      <c r="ER101" s="72"/>
      <c r="ES101" s="72"/>
      <c r="ET101" s="72"/>
      <c r="EU101" s="72"/>
      <c r="EV101" s="72"/>
      <c r="EW101" s="72"/>
      <c r="EX101" s="72"/>
      <c r="EY101" s="72"/>
      <c r="EZ101" s="72"/>
      <c r="FA101" s="72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72"/>
      <c r="FM101" s="72"/>
      <c r="FN101" s="72"/>
      <c r="FO101" s="72"/>
      <c r="FP101" s="72"/>
      <c r="FQ101" s="72"/>
      <c r="FR101" s="72"/>
      <c r="FS101" s="72"/>
      <c r="FT101" s="72"/>
      <c r="FU101" s="72"/>
      <c r="FV101" s="72"/>
      <c r="FW101" s="72"/>
      <c r="FX101" s="72"/>
      <c r="FY101" s="72"/>
      <c r="FZ101" s="72"/>
      <c r="GA101" s="72"/>
      <c r="GB101" s="72"/>
      <c r="GC101" s="72"/>
      <c r="GD101" s="72"/>
      <c r="GE101" s="72"/>
      <c r="GF101" s="72"/>
      <c r="GG101" s="72"/>
      <c r="GH101" s="72"/>
      <c r="GI101" s="72"/>
      <c r="GJ101" s="72"/>
      <c r="GK101" s="72"/>
      <c r="GL101" s="72"/>
      <c r="GM101" s="72"/>
      <c r="GN101" s="72"/>
      <c r="GO101" s="72"/>
      <c r="GP101" s="72"/>
      <c r="GQ101" s="72"/>
      <c r="GR101" s="72"/>
      <c r="GS101" s="72"/>
      <c r="GT101" s="72"/>
      <c r="GU101" s="72"/>
      <c r="GV101" s="72"/>
      <c r="GW101" s="72"/>
      <c r="GX101" s="72"/>
      <c r="GY101" s="72"/>
      <c r="GZ101" s="72"/>
      <c r="HA101" s="72"/>
      <c r="HB101" s="72"/>
      <c r="HC101" s="72"/>
      <c r="HD101" s="72"/>
      <c r="HE101" s="72"/>
      <c r="HF101" s="72"/>
      <c r="HG101" s="72"/>
      <c r="HH101" s="72"/>
      <c r="HI101" s="72"/>
      <c r="HJ101" s="72"/>
      <c r="HK101" s="72"/>
      <c r="HL101" s="72"/>
      <c r="HM101" s="72"/>
    </row>
    <row r="102" spans="1:221" outlineLevel="1">
      <c r="A102" s="49" t="s">
        <v>332</v>
      </c>
      <c r="B102" s="50" t="s">
        <v>486</v>
      </c>
      <c r="C102" s="51" t="s">
        <v>146</v>
      </c>
      <c r="D102" s="51" t="s">
        <v>563</v>
      </c>
      <c r="E102" s="52">
        <v>46244</v>
      </c>
      <c r="F102" s="52">
        <v>46248</v>
      </c>
      <c r="G102" s="53">
        <f>IF(OR($H102="삭제",$H102="작업대기",$H102="보류"),0,IF($H102="완료",1,IFERROR(MIN(0.99,MAX(0,($F$3-$E102)/($F102-$E102))),0)))</f>
        <v>1</v>
      </c>
      <c r="H102" s="51" t="s">
        <v>78</v>
      </c>
      <c r="I102" s="50" t="str">
        <f ca="1">IF(AND($F102&lt;&gt;"",$F102&lt;$F$3,$H102&lt;&gt;"완료",$H102&lt;&gt;"삭제",$H102&lt;&gt;"보류",$H102&lt;&gt;""),"⚠ 마감 초과",IF(AND($F102&lt;&gt;"",$F102&gt;$F$3,$H102="완료"),"⚡ 미래 날짜 완료 이상",""))</f>
        <v/>
      </c>
      <c r="J102" s="50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  <c r="DY102" s="72"/>
      <c r="DZ102" s="72"/>
      <c r="EA102" s="72"/>
      <c r="EB102" s="72"/>
      <c r="EC102" s="72"/>
      <c r="ED102" s="72"/>
      <c r="EE102" s="72"/>
      <c r="EF102" s="72"/>
      <c r="EG102" s="72"/>
      <c r="EH102" s="72"/>
      <c r="EI102" s="72"/>
      <c r="EJ102" s="72"/>
      <c r="EK102" s="72"/>
      <c r="EL102" s="72"/>
      <c r="EM102" s="72"/>
      <c r="EN102" s="72"/>
      <c r="EO102" s="72"/>
      <c r="EP102" s="72"/>
      <c r="EQ102" s="72"/>
      <c r="ER102" s="72"/>
      <c r="ES102" s="72"/>
      <c r="ET102" s="72"/>
      <c r="EU102" s="72"/>
      <c r="EV102" s="72"/>
      <c r="EW102" s="72"/>
      <c r="EX102" s="72"/>
      <c r="EY102" s="72"/>
      <c r="EZ102" s="72"/>
      <c r="FA102" s="72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72"/>
      <c r="FM102" s="72"/>
      <c r="FN102" s="72"/>
      <c r="FO102" s="72"/>
      <c r="FP102" s="72"/>
      <c r="FQ102" s="72"/>
      <c r="FR102" s="72"/>
      <c r="FS102" s="72"/>
      <c r="FT102" s="72"/>
      <c r="FU102" s="72"/>
      <c r="FV102" s="72"/>
      <c r="FW102" s="72"/>
      <c r="FX102" s="72"/>
      <c r="FY102" s="72"/>
      <c r="FZ102" s="72"/>
      <c r="GA102" s="72"/>
      <c r="GB102" s="72"/>
      <c r="GC102" s="72"/>
      <c r="GD102" s="72"/>
      <c r="GE102" s="72"/>
      <c r="GF102" s="72"/>
      <c r="GG102" s="72"/>
      <c r="GH102" s="72"/>
      <c r="GI102" s="72"/>
      <c r="GJ102" s="72"/>
      <c r="GK102" s="72"/>
      <c r="GL102" s="72"/>
      <c r="GM102" s="72"/>
      <c r="GN102" s="72"/>
      <c r="GO102" s="72"/>
      <c r="GP102" s="72"/>
      <c r="GQ102" s="72"/>
      <c r="GR102" s="72"/>
      <c r="GS102" s="72"/>
      <c r="GT102" s="72"/>
      <c r="GU102" s="72"/>
      <c r="GV102" s="72"/>
      <c r="GW102" s="72"/>
      <c r="GX102" s="72"/>
      <c r="GY102" s="72"/>
      <c r="GZ102" s="72"/>
      <c r="HA102" s="72"/>
      <c r="HB102" s="72"/>
      <c r="HC102" s="72"/>
      <c r="HD102" s="72"/>
      <c r="HE102" s="72"/>
      <c r="HF102" s="72"/>
      <c r="HG102" s="72"/>
      <c r="HH102" s="72"/>
      <c r="HI102" s="72"/>
      <c r="HJ102" s="72"/>
      <c r="HK102" s="72"/>
      <c r="HL102" s="72"/>
      <c r="HM102" s="72"/>
    </row>
    <row r="103" spans="1:221">
      <c r="A103" s="64" t="s">
        <v>543</v>
      </c>
      <c r="B103" s="65" t="s">
        <v>487</v>
      </c>
      <c r="C103" s="66"/>
      <c r="D103" s="66"/>
      <c r="E103" s="67">
        <f>IFERROR(IF(COUNT($E104:$E106)=0,"",_xlfn.MINIFS($E104:$E106,$C104:$C106,"&lt;&gt;",$H104:$H106,"&lt;&gt;삭제")),"")</f>
        <v>46251</v>
      </c>
      <c r="F103" s="67">
        <f>IFERROR(IF(COUNT($F104:$F106)=0,"",_xlfn.MAXIFS($F104:$F106,$C104:$C106,"&lt;&gt;",$H104:$H106,"&lt;&gt;삭제")),"")</f>
        <v>46269</v>
      </c>
      <c r="G103" s="68">
        <f>IFERROR(AVERAGEIFS(G104:G106,$C104:$C106,"&lt;&gt;",$H104:$H106,"&lt;&gt;삭제"),0)</f>
        <v>0.66666666666666663</v>
      </c>
      <c r="H103" s="66" t="str">
        <f>IF($G103&gt;=1,"완료",IF($G103&gt;0,"진행중","작업대기"))</f>
        <v>진행중</v>
      </c>
      <c r="I103" s="65"/>
      <c r="J103" s="65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72"/>
      <c r="DL103" s="72"/>
      <c r="DM103" s="72"/>
      <c r="DN103" s="72"/>
      <c r="DO103" s="72"/>
      <c r="DP103" s="72"/>
      <c r="DQ103" s="72"/>
      <c r="DR103" s="72"/>
      <c r="DS103" s="72"/>
      <c r="DT103" s="72"/>
      <c r="DU103" s="72"/>
      <c r="DV103" s="72"/>
      <c r="DW103" s="72"/>
      <c r="DX103" s="72"/>
      <c r="DY103" s="72"/>
      <c r="DZ103" s="72"/>
      <c r="EA103" s="72"/>
      <c r="EB103" s="72"/>
      <c r="EC103" s="72"/>
      <c r="ED103" s="72"/>
      <c r="EE103" s="72"/>
      <c r="EF103" s="72"/>
      <c r="EG103" s="72"/>
      <c r="EH103" s="72"/>
      <c r="EI103" s="72"/>
      <c r="EJ103" s="72"/>
      <c r="EK103" s="72"/>
      <c r="EL103" s="72"/>
      <c r="EM103" s="72"/>
      <c r="EN103" s="72"/>
      <c r="EO103" s="72"/>
      <c r="EP103" s="72"/>
      <c r="EQ103" s="72"/>
      <c r="ER103" s="72"/>
      <c r="ES103" s="72"/>
      <c r="ET103" s="72"/>
      <c r="EU103" s="72"/>
      <c r="EV103" s="72"/>
      <c r="EW103" s="72"/>
      <c r="EX103" s="72"/>
      <c r="EY103" s="72"/>
      <c r="EZ103" s="72"/>
      <c r="FA103" s="72"/>
      <c r="FB103" s="72"/>
      <c r="FC103" s="72"/>
      <c r="FD103" s="72"/>
      <c r="FE103" s="72"/>
      <c r="FF103" s="72"/>
      <c r="FG103" s="72"/>
      <c r="FH103" s="72"/>
      <c r="FI103" s="72"/>
      <c r="FJ103" s="72"/>
      <c r="FK103" s="72"/>
      <c r="FL103" s="72"/>
      <c r="FM103" s="72"/>
      <c r="FN103" s="72"/>
      <c r="FO103" s="72"/>
      <c r="FP103" s="72"/>
      <c r="FQ103" s="72"/>
      <c r="FR103" s="72"/>
      <c r="FS103" s="72"/>
      <c r="FT103" s="72"/>
      <c r="FU103" s="72"/>
      <c r="FV103" s="72"/>
      <c r="FW103" s="72"/>
      <c r="FX103" s="72"/>
      <c r="FY103" s="72"/>
      <c r="FZ103" s="72"/>
      <c r="GA103" s="72"/>
      <c r="GB103" s="72"/>
      <c r="GC103" s="72"/>
      <c r="GD103" s="72"/>
      <c r="GE103" s="72"/>
      <c r="GF103" s="72"/>
      <c r="GG103" s="72"/>
      <c r="GH103" s="72"/>
      <c r="GI103" s="72"/>
      <c r="GJ103" s="72"/>
      <c r="GK103" s="72"/>
      <c r="GL103" s="72"/>
      <c r="GM103" s="72"/>
      <c r="GN103" s="72"/>
      <c r="GO103" s="72"/>
      <c r="GP103" s="72"/>
      <c r="GQ103" s="72"/>
      <c r="GR103" s="72"/>
      <c r="GS103" s="72"/>
      <c r="GT103" s="72"/>
      <c r="GU103" s="72"/>
      <c r="GV103" s="72"/>
      <c r="GW103" s="72"/>
      <c r="GX103" s="72"/>
      <c r="GY103" s="72"/>
      <c r="GZ103" s="72"/>
      <c r="HA103" s="72"/>
      <c r="HB103" s="72"/>
      <c r="HC103" s="72"/>
      <c r="HD103" s="72"/>
      <c r="HE103" s="72"/>
      <c r="HF103" s="72"/>
      <c r="HG103" s="72"/>
      <c r="HH103" s="72"/>
      <c r="HI103" s="72"/>
      <c r="HJ103" s="72"/>
      <c r="HK103" s="72"/>
      <c r="HL103" s="72"/>
      <c r="HM103" s="72"/>
    </row>
    <row r="104" spans="1:221" outlineLevel="1">
      <c r="A104" s="49" t="s">
        <v>333</v>
      </c>
      <c r="B104" s="50" t="s">
        <v>488</v>
      </c>
      <c r="C104" s="51" t="s">
        <v>146</v>
      </c>
      <c r="D104" s="51" t="s">
        <v>563</v>
      </c>
      <c r="E104" s="52">
        <v>46251</v>
      </c>
      <c r="F104" s="52">
        <v>46255</v>
      </c>
      <c r="G104" s="53">
        <f>IF(OR($H104="삭제",$H104="작업대기",$H104="보류"),0,IF($H104="완료",1,IFERROR(MIN(0.99,MAX(0,($F$3-$E104)/($F104-$E104))),0)))</f>
        <v>1</v>
      </c>
      <c r="H104" s="51" t="s">
        <v>78</v>
      </c>
      <c r="I104" s="50" t="str">
        <f ca="1">IF(AND($F104&lt;&gt;"",$F104&lt;$F$3,$H104&lt;&gt;"완료",$H104&lt;&gt;"삭제",$H104&lt;&gt;"보류",$H104&lt;&gt;""),"⚠ 마감 초과",IF(AND($F104&lt;&gt;"",$F104&gt;$F$3,$H104="완료"),"⚡ 미래 날짜 완료 이상",""))</f>
        <v/>
      </c>
      <c r="J104" s="50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  <c r="DY104" s="72"/>
      <c r="DZ104" s="72"/>
      <c r="EA104" s="72"/>
      <c r="EB104" s="72"/>
      <c r="EC104" s="72"/>
      <c r="ED104" s="72"/>
      <c r="EE104" s="72"/>
      <c r="EF104" s="72"/>
      <c r="EG104" s="72"/>
      <c r="EH104" s="72"/>
      <c r="EI104" s="72"/>
      <c r="EJ104" s="72"/>
      <c r="EK104" s="72"/>
      <c r="EL104" s="72"/>
      <c r="EM104" s="72"/>
      <c r="EN104" s="72"/>
      <c r="EO104" s="72"/>
      <c r="EP104" s="72"/>
      <c r="EQ104" s="72"/>
      <c r="ER104" s="72"/>
      <c r="ES104" s="72"/>
      <c r="ET104" s="72"/>
      <c r="EU104" s="72"/>
      <c r="EV104" s="72"/>
      <c r="EW104" s="72"/>
      <c r="EX104" s="72"/>
      <c r="EY104" s="72"/>
      <c r="EZ104" s="72"/>
      <c r="FA104" s="72"/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72"/>
      <c r="FM104" s="72"/>
      <c r="FN104" s="72"/>
      <c r="FO104" s="72"/>
      <c r="FP104" s="72"/>
      <c r="FQ104" s="72"/>
      <c r="FR104" s="72"/>
      <c r="FS104" s="72"/>
      <c r="FT104" s="72"/>
      <c r="FU104" s="72"/>
      <c r="FV104" s="72"/>
      <c r="FW104" s="72"/>
      <c r="FX104" s="72"/>
      <c r="FY104" s="72"/>
      <c r="FZ104" s="72"/>
      <c r="GA104" s="72"/>
      <c r="GB104" s="72"/>
      <c r="GC104" s="72"/>
      <c r="GD104" s="72"/>
      <c r="GE104" s="72"/>
      <c r="GF104" s="72"/>
      <c r="GG104" s="72"/>
      <c r="GH104" s="72"/>
      <c r="GI104" s="72"/>
      <c r="GJ104" s="72"/>
      <c r="GK104" s="72"/>
      <c r="GL104" s="72"/>
      <c r="GM104" s="72"/>
      <c r="GN104" s="72"/>
      <c r="GO104" s="72"/>
      <c r="GP104" s="72"/>
      <c r="GQ104" s="72"/>
      <c r="GR104" s="72"/>
      <c r="GS104" s="72"/>
      <c r="GT104" s="72"/>
      <c r="GU104" s="72"/>
      <c r="GV104" s="72"/>
      <c r="GW104" s="72"/>
      <c r="GX104" s="72"/>
      <c r="GY104" s="72"/>
      <c r="GZ104" s="72"/>
      <c r="HA104" s="72"/>
      <c r="HB104" s="72"/>
      <c r="HC104" s="72"/>
      <c r="HD104" s="72"/>
      <c r="HE104" s="72"/>
      <c r="HF104" s="72"/>
      <c r="HG104" s="72"/>
      <c r="HH104" s="72"/>
      <c r="HI104" s="72"/>
      <c r="HJ104" s="72"/>
      <c r="HK104" s="72"/>
      <c r="HL104" s="72"/>
      <c r="HM104" s="72"/>
    </row>
    <row r="105" spans="1:221" outlineLevel="1">
      <c r="A105" s="49" t="s">
        <v>334</v>
      </c>
      <c r="B105" s="50" t="s">
        <v>489</v>
      </c>
      <c r="C105" s="51" t="s">
        <v>146</v>
      </c>
      <c r="D105" s="51" t="s">
        <v>563</v>
      </c>
      <c r="E105" s="52">
        <v>46251</v>
      </c>
      <c r="F105" s="52">
        <v>46255</v>
      </c>
      <c r="G105" s="53">
        <f>IF(OR($H105="삭제",$H105="작업대기",$H105="보류"),0,IF($H105="완료",1,IFERROR(MIN(0.99,MAX(0,($F$3-$E105)/($F105-$E105))),0)))</f>
        <v>1</v>
      </c>
      <c r="H105" s="51" t="s">
        <v>78</v>
      </c>
      <c r="I105" s="50" t="str">
        <f ca="1">IF(AND($F105&lt;&gt;"",$F105&lt;$F$3,$H105&lt;&gt;"완료",$H105&lt;&gt;"삭제",$H105&lt;&gt;"보류",$H105&lt;&gt;""),"⚠ 마감 초과",IF(AND($F105&lt;&gt;"",$F105&gt;$F$3,$H105="완료"),"⚡ 미래 날짜 완료 이상",""))</f>
        <v/>
      </c>
      <c r="J105" s="50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  <c r="DY105" s="72"/>
      <c r="DZ105" s="72"/>
      <c r="EA105" s="72"/>
      <c r="EB105" s="72"/>
      <c r="EC105" s="72"/>
      <c r="ED105" s="72"/>
      <c r="EE105" s="72"/>
      <c r="EF105" s="72"/>
      <c r="EG105" s="72"/>
      <c r="EH105" s="72"/>
      <c r="EI105" s="72"/>
      <c r="EJ105" s="72"/>
      <c r="EK105" s="72"/>
      <c r="EL105" s="72"/>
      <c r="EM105" s="72"/>
      <c r="EN105" s="72"/>
      <c r="EO105" s="72"/>
      <c r="EP105" s="72"/>
      <c r="EQ105" s="72"/>
      <c r="ER105" s="72"/>
      <c r="ES105" s="72"/>
      <c r="ET105" s="72"/>
      <c r="EU105" s="72"/>
      <c r="EV105" s="72"/>
      <c r="EW105" s="72"/>
      <c r="EX105" s="72"/>
      <c r="EY105" s="72"/>
      <c r="EZ105" s="72"/>
      <c r="FA105" s="72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72"/>
      <c r="FM105" s="72"/>
      <c r="FN105" s="72"/>
      <c r="FO105" s="72"/>
      <c r="FP105" s="72"/>
      <c r="FQ105" s="72"/>
      <c r="FR105" s="72"/>
      <c r="FS105" s="72"/>
      <c r="FT105" s="72"/>
      <c r="FU105" s="72"/>
      <c r="FV105" s="72"/>
      <c r="FW105" s="72"/>
      <c r="FX105" s="72"/>
      <c r="FY105" s="72"/>
      <c r="FZ105" s="72"/>
      <c r="GA105" s="72"/>
      <c r="GB105" s="72"/>
      <c r="GC105" s="72"/>
      <c r="GD105" s="72"/>
      <c r="GE105" s="72"/>
      <c r="GF105" s="72"/>
      <c r="GG105" s="72"/>
      <c r="GH105" s="72"/>
      <c r="GI105" s="72"/>
      <c r="GJ105" s="72"/>
      <c r="GK105" s="72"/>
      <c r="GL105" s="72"/>
      <c r="GM105" s="72"/>
      <c r="GN105" s="72"/>
      <c r="GO105" s="72"/>
      <c r="GP105" s="72"/>
      <c r="GQ105" s="72"/>
      <c r="GR105" s="72"/>
      <c r="GS105" s="72"/>
      <c r="GT105" s="72"/>
      <c r="GU105" s="72"/>
      <c r="GV105" s="72"/>
      <c r="GW105" s="72"/>
      <c r="GX105" s="72"/>
      <c r="GY105" s="72"/>
      <c r="GZ105" s="72"/>
      <c r="HA105" s="72"/>
      <c r="HB105" s="72"/>
      <c r="HC105" s="72"/>
      <c r="HD105" s="72"/>
      <c r="HE105" s="72"/>
      <c r="HF105" s="72"/>
      <c r="HG105" s="72"/>
      <c r="HH105" s="72"/>
      <c r="HI105" s="72"/>
      <c r="HJ105" s="72"/>
      <c r="HK105" s="72"/>
      <c r="HL105" s="72"/>
      <c r="HM105" s="72"/>
    </row>
    <row r="106" spans="1:221" outlineLevel="1">
      <c r="A106" s="49" t="s">
        <v>335</v>
      </c>
      <c r="B106" s="50" t="s">
        <v>490</v>
      </c>
      <c r="C106" s="51" t="s">
        <v>146</v>
      </c>
      <c r="D106" s="51" t="s">
        <v>563</v>
      </c>
      <c r="E106" s="52">
        <v>46265</v>
      </c>
      <c r="F106" s="52">
        <v>46269</v>
      </c>
      <c r="G106" s="53">
        <f>IF(OR($H106="삭제",$H106="작업대기",$H106="보류"),0,IF($H106="완료",1,IFERROR(MIN(0.99,MAX(0,($F$3-$E106)/($F106-$E106))),0)))</f>
        <v>0</v>
      </c>
      <c r="H106" s="51" t="s">
        <v>106</v>
      </c>
      <c r="I106" s="50" t="str">
        <f ca="1">IF(AND($F106&lt;&gt;"",$F106&lt;$F$3,$H106&lt;&gt;"완료",$H106&lt;&gt;"삭제",$H106&lt;&gt;"보류",$H106&lt;&gt;""),"⚠ 마감 초과",IF(AND($F106&lt;&gt;"",$F106&gt;$F$3,$H106="완료"),"⚡ 미래 날짜 완료 이상",""))</f>
        <v>⚠ 마감 초과</v>
      </c>
      <c r="J106" s="50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  <c r="DY106" s="72"/>
      <c r="DZ106" s="72"/>
      <c r="EA106" s="72"/>
      <c r="EB106" s="72"/>
      <c r="EC106" s="72"/>
      <c r="ED106" s="72"/>
      <c r="EE106" s="72"/>
      <c r="EF106" s="72"/>
      <c r="EG106" s="72"/>
      <c r="EH106" s="72"/>
      <c r="EI106" s="72"/>
      <c r="EJ106" s="72"/>
      <c r="EK106" s="72"/>
      <c r="EL106" s="72"/>
      <c r="EM106" s="72"/>
      <c r="EN106" s="72"/>
      <c r="EO106" s="72"/>
      <c r="EP106" s="72"/>
      <c r="EQ106" s="72"/>
      <c r="ER106" s="72"/>
      <c r="ES106" s="72"/>
      <c r="ET106" s="72"/>
      <c r="EU106" s="72"/>
      <c r="EV106" s="72"/>
      <c r="EW106" s="72"/>
      <c r="EX106" s="72"/>
      <c r="EY106" s="72"/>
      <c r="EZ106" s="72"/>
      <c r="FA106" s="72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72"/>
      <c r="FM106" s="72"/>
      <c r="FN106" s="72"/>
      <c r="FO106" s="72"/>
      <c r="FP106" s="72"/>
      <c r="FQ106" s="72"/>
      <c r="FR106" s="72"/>
      <c r="FS106" s="72"/>
      <c r="FT106" s="72"/>
      <c r="FU106" s="72"/>
      <c r="FV106" s="72"/>
      <c r="FW106" s="72"/>
      <c r="FX106" s="72"/>
      <c r="FY106" s="72"/>
      <c r="FZ106" s="72"/>
      <c r="GA106" s="72"/>
      <c r="GB106" s="72"/>
      <c r="GC106" s="72"/>
      <c r="GD106" s="72"/>
      <c r="GE106" s="72"/>
      <c r="GF106" s="72"/>
      <c r="GG106" s="72"/>
      <c r="GH106" s="72"/>
      <c r="GI106" s="72"/>
      <c r="GJ106" s="72"/>
      <c r="GK106" s="72"/>
      <c r="GL106" s="72"/>
      <c r="GM106" s="72"/>
      <c r="GN106" s="72"/>
      <c r="GO106" s="72"/>
      <c r="GP106" s="72"/>
      <c r="GQ106" s="72"/>
      <c r="GR106" s="72"/>
      <c r="GS106" s="72"/>
      <c r="GT106" s="72"/>
      <c r="GU106" s="72"/>
      <c r="GV106" s="72"/>
      <c r="GW106" s="72"/>
      <c r="GX106" s="72"/>
      <c r="GY106" s="72"/>
      <c r="GZ106" s="72"/>
      <c r="HA106" s="72"/>
      <c r="HB106" s="72"/>
      <c r="HC106" s="72"/>
      <c r="HD106" s="72"/>
      <c r="HE106" s="72"/>
      <c r="HF106" s="72"/>
      <c r="HG106" s="72"/>
      <c r="HH106" s="72"/>
      <c r="HI106" s="72"/>
      <c r="HJ106" s="72"/>
      <c r="HK106" s="72"/>
      <c r="HL106" s="72"/>
      <c r="HM106" s="72"/>
    </row>
    <row r="107" spans="1:221">
      <c r="A107" s="64" t="s">
        <v>544</v>
      </c>
      <c r="B107" s="65" t="s">
        <v>491</v>
      </c>
      <c r="C107" s="66"/>
      <c r="D107" s="66"/>
      <c r="E107" s="67">
        <f>IFERROR(IF(COUNT($E108:$E110)=0,"",_xlfn.MINIFS($E108:$E110,$C108:$C110,"&lt;&gt;",$H108:$H110,"&lt;&gt;삭제")),"")</f>
        <v>46265</v>
      </c>
      <c r="F107" s="67">
        <f>IFERROR(IF(COUNT($F108:$F110)=0,"",_xlfn.MAXIFS($F108:$F110,$C108:$C110,"&lt;&gt;",$H108:$H110,"&lt;&gt;삭제")),"")</f>
        <v>46269</v>
      </c>
      <c r="G107" s="68">
        <f>IFERROR(AVERAGEIFS(G108:G110,$C108:$C110,"&lt;&gt;",$H108:$H110,"&lt;&gt;삭제"),0)</f>
        <v>0.33333333333333331</v>
      </c>
      <c r="H107" s="66" t="str">
        <f>IF($G107&gt;=1,"완료",IF($G107&gt;0,"진행중","작업대기"))</f>
        <v>진행중</v>
      </c>
      <c r="I107" s="65"/>
      <c r="J107" s="65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72"/>
      <c r="DK107" s="72"/>
      <c r="DL107" s="72"/>
      <c r="DM107" s="72"/>
      <c r="DN107" s="72"/>
      <c r="DO107" s="72"/>
      <c r="DP107" s="72"/>
      <c r="DQ107" s="72"/>
      <c r="DR107" s="72"/>
      <c r="DS107" s="72"/>
      <c r="DT107" s="72"/>
      <c r="DU107" s="72"/>
      <c r="DV107" s="72"/>
      <c r="DW107" s="72"/>
      <c r="DX107" s="72"/>
      <c r="DY107" s="72"/>
      <c r="DZ107" s="72"/>
      <c r="EA107" s="72"/>
      <c r="EB107" s="72"/>
      <c r="EC107" s="72"/>
      <c r="ED107" s="72"/>
      <c r="EE107" s="72"/>
      <c r="EF107" s="72"/>
      <c r="EG107" s="72"/>
      <c r="EH107" s="72"/>
      <c r="EI107" s="72"/>
      <c r="EJ107" s="72"/>
      <c r="EK107" s="72"/>
      <c r="EL107" s="72"/>
      <c r="EM107" s="72"/>
      <c r="EN107" s="72"/>
      <c r="EO107" s="72"/>
      <c r="EP107" s="72"/>
      <c r="EQ107" s="72"/>
      <c r="ER107" s="72"/>
      <c r="ES107" s="72"/>
      <c r="ET107" s="72"/>
      <c r="EU107" s="72"/>
      <c r="EV107" s="72"/>
      <c r="EW107" s="72"/>
      <c r="EX107" s="72"/>
      <c r="EY107" s="72"/>
      <c r="EZ107" s="72"/>
      <c r="FA107" s="72"/>
      <c r="FB107" s="72"/>
      <c r="FC107" s="72"/>
      <c r="FD107" s="72"/>
      <c r="FE107" s="72"/>
      <c r="FF107" s="72"/>
      <c r="FG107" s="72"/>
      <c r="FH107" s="72"/>
      <c r="FI107" s="72"/>
      <c r="FJ107" s="72"/>
      <c r="FK107" s="72"/>
      <c r="FL107" s="72"/>
      <c r="FM107" s="72"/>
      <c r="FN107" s="72"/>
      <c r="FO107" s="72"/>
      <c r="FP107" s="72"/>
      <c r="FQ107" s="72"/>
      <c r="FR107" s="72"/>
      <c r="FS107" s="72"/>
      <c r="FT107" s="72"/>
      <c r="FU107" s="72"/>
      <c r="FV107" s="72"/>
      <c r="FW107" s="72"/>
      <c r="FX107" s="72"/>
      <c r="FY107" s="72"/>
      <c r="FZ107" s="72"/>
      <c r="GA107" s="72"/>
      <c r="GB107" s="72"/>
      <c r="GC107" s="72"/>
      <c r="GD107" s="72"/>
      <c r="GE107" s="72"/>
      <c r="GF107" s="72"/>
      <c r="GG107" s="72"/>
      <c r="GH107" s="72"/>
      <c r="GI107" s="72"/>
      <c r="GJ107" s="72"/>
      <c r="GK107" s="72"/>
      <c r="GL107" s="72"/>
      <c r="GM107" s="72"/>
      <c r="GN107" s="72"/>
      <c r="GO107" s="72"/>
      <c r="GP107" s="72"/>
      <c r="GQ107" s="72"/>
      <c r="GR107" s="72"/>
      <c r="GS107" s="72"/>
      <c r="GT107" s="72"/>
      <c r="GU107" s="72"/>
      <c r="GV107" s="72"/>
      <c r="GW107" s="72"/>
      <c r="GX107" s="72"/>
      <c r="GY107" s="72"/>
      <c r="GZ107" s="72"/>
      <c r="HA107" s="72"/>
      <c r="HB107" s="72"/>
      <c r="HC107" s="72"/>
      <c r="HD107" s="72"/>
      <c r="HE107" s="72"/>
      <c r="HF107" s="72"/>
      <c r="HG107" s="72"/>
      <c r="HH107" s="72"/>
      <c r="HI107" s="72"/>
      <c r="HJ107" s="72"/>
      <c r="HK107" s="72"/>
      <c r="HL107" s="72"/>
      <c r="HM107" s="72"/>
    </row>
    <row r="108" spans="1:221" outlineLevel="1">
      <c r="A108" s="49" t="s">
        <v>336</v>
      </c>
      <c r="B108" s="50" t="s">
        <v>492</v>
      </c>
      <c r="C108" s="51" t="s">
        <v>146</v>
      </c>
      <c r="D108" s="51" t="s">
        <v>563</v>
      </c>
      <c r="E108" s="52"/>
      <c r="F108" s="52"/>
      <c r="G108" s="53">
        <f>IF(OR($H108="삭제",$H108="작업대기",$H108="보류"),0,IF($H108="완료",1,IFERROR(MIN(0.99,MAX(0,($F$3-$E108)/($F108-$E108))),0)))</f>
        <v>0</v>
      </c>
      <c r="H108" s="51" t="s">
        <v>106</v>
      </c>
      <c r="I108" s="50" t="str">
        <f ca="1">IF(AND($F108&lt;&gt;"",$F108&lt;$F$3,$H108&lt;&gt;"완료",$H108&lt;&gt;"삭제",$H108&lt;&gt;"보류",$H108&lt;&gt;""),"⚠ 마감 초과",IF(AND($F108&lt;&gt;"",$F108&gt;$F$3,$H108="완료"),"⚡ 미래 날짜 완료 이상",""))</f>
        <v/>
      </c>
      <c r="J108" s="50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72"/>
      <c r="DK108" s="72"/>
      <c r="DL108" s="72"/>
      <c r="DM108" s="72"/>
      <c r="DN108" s="72"/>
      <c r="DO108" s="72"/>
      <c r="DP108" s="72"/>
      <c r="DQ108" s="72"/>
      <c r="DR108" s="72"/>
      <c r="DS108" s="72"/>
      <c r="DT108" s="72"/>
      <c r="DU108" s="72"/>
      <c r="DV108" s="72"/>
      <c r="DW108" s="72"/>
      <c r="DX108" s="72"/>
      <c r="DY108" s="72"/>
      <c r="DZ108" s="72"/>
      <c r="EA108" s="72"/>
      <c r="EB108" s="72"/>
      <c r="EC108" s="72"/>
      <c r="ED108" s="72"/>
      <c r="EE108" s="72"/>
      <c r="EF108" s="72"/>
      <c r="EG108" s="72"/>
      <c r="EH108" s="72"/>
      <c r="EI108" s="72"/>
      <c r="EJ108" s="72"/>
      <c r="EK108" s="72"/>
      <c r="EL108" s="72"/>
      <c r="EM108" s="72"/>
      <c r="EN108" s="72"/>
      <c r="EO108" s="72"/>
      <c r="EP108" s="72"/>
      <c r="EQ108" s="72"/>
      <c r="ER108" s="72"/>
      <c r="ES108" s="72"/>
      <c r="ET108" s="72"/>
      <c r="EU108" s="72"/>
      <c r="EV108" s="72"/>
      <c r="EW108" s="72"/>
      <c r="EX108" s="72"/>
      <c r="EY108" s="72"/>
      <c r="EZ108" s="72"/>
      <c r="FA108" s="72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72"/>
      <c r="FM108" s="72"/>
      <c r="FN108" s="72"/>
      <c r="FO108" s="72"/>
      <c r="FP108" s="72"/>
      <c r="FQ108" s="72"/>
      <c r="FR108" s="72"/>
      <c r="FS108" s="72"/>
      <c r="FT108" s="72"/>
      <c r="FU108" s="72"/>
      <c r="FV108" s="72"/>
      <c r="FW108" s="72"/>
      <c r="FX108" s="72"/>
      <c r="FY108" s="72"/>
      <c r="FZ108" s="72"/>
      <c r="GA108" s="72"/>
      <c r="GB108" s="72"/>
      <c r="GC108" s="72"/>
      <c r="GD108" s="72"/>
      <c r="GE108" s="72"/>
      <c r="GF108" s="72"/>
      <c r="GG108" s="72"/>
      <c r="GH108" s="72"/>
      <c r="GI108" s="72"/>
      <c r="GJ108" s="72"/>
      <c r="GK108" s="72"/>
      <c r="GL108" s="72"/>
      <c r="GM108" s="72"/>
      <c r="GN108" s="72"/>
      <c r="GO108" s="72"/>
      <c r="GP108" s="72"/>
      <c r="GQ108" s="72"/>
      <c r="GR108" s="72"/>
      <c r="GS108" s="72"/>
      <c r="GT108" s="72"/>
      <c r="GU108" s="72"/>
      <c r="GV108" s="72"/>
      <c r="GW108" s="72"/>
      <c r="GX108" s="72"/>
      <c r="GY108" s="72"/>
      <c r="GZ108" s="72"/>
      <c r="HA108" s="72"/>
      <c r="HB108" s="72"/>
      <c r="HC108" s="72"/>
      <c r="HD108" s="72"/>
      <c r="HE108" s="72"/>
      <c r="HF108" s="72"/>
      <c r="HG108" s="72"/>
      <c r="HH108" s="72"/>
      <c r="HI108" s="72"/>
      <c r="HJ108" s="72"/>
      <c r="HK108" s="72"/>
      <c r="HL108" s="72"/>
      <c r="HM108" s="72"/>
    </row>
    <row r="109" spans="1:221" outlineLevel="1">
      <c r="A109" s="49" t="s">
        <v>337</v>
      </c>
      <c r="B109" s="50" t="s">
        <v>493</v>
      </c>
      <c r="C109" s="51" t="s">
        <v>146</v>
      </c>
      <c r="D109" s="51" t="s">
        <v>563</v>
      </c>
      <c r="E109" s="52"/>
      <c r="F109" s="52"/>
      <c r="G109" s="53">
        <f>IF(OR($H109="삭제",$H109="작업대기",$H109="보류"),0,IF($H109="완료",1,IFERROR(MIN(0.99,MAX(0,($F$3-$E109)/($F109-$E109))),0)))</f>
        <v>0</v>
      </c>
      <c r="H109" s="51" t="s">
        <v>106</v>
      </c>
      <c r="I109" s="50" t="str">
        <f ca="1">IF(AND($F109&lt;&gt;"",$F109&lt;$F$3,$H109&lt;&gt;"완료",$H109&lt;&gt;"삭제",$H109&lt;&gt;"보류",$H109&lt;&gt;""),"⚠ 마감 초과",IF(AND($F109&lt;&gt;"",$F109&gt;$F$3,$H109="완료"),"⚡ 미래 날짜 완료 이상",""))</f>
        <v/>
      </c>
      <c r="J109" s="50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72"/>
      <c r="FM109" s="72"/>
      <c r="FN109" s="72"/>
      <c r="FO109" s="72"/>
      <c r="FP109" s="72"/>
      <c r="FQ109" s="72"/>
      <c r="FR109" s="72"/>
      <c r="FS109" s="72"/>
      <c r="FT109" s="72"/>
      <c r="FU109" s="72"/>
      <c r="FV109" s="72"/>
      <c r="FW109" s="72"/>
      <c r="FX109" s="72"/>
      <c r="FY109" s="72"/>
      <c r="FZ109" s="72"/>
      <c r="GA109" s="72"/>
      <c r="GB109" s="72"/>
      <c r="GC109" s="72"/>
      <c r="GD109" s="72"/>
      <c r="GE109" s="72"/>
      <c r="GF109" s="72"/>
      <c r="GG109" s="72"/>
      <c r="GH109" s="72"/>
      <c r="GI109" s="72"/>
      <c r="GJ109" s="72"/>
      <c r="GK109" s="72"/>
      <c r="GL109" s="72"/>
      <c r="GM109" s="72"/>
      <c r="GN109" s="72"/>
      <c r="GO109" s="72"/>
      <c r="GP109" s="72"/>
      <c r="GQ109" s="72"/>
      <c r="GR109" s="72"/>
      <c r="GS109" s="72"/>
      <c r="GT109" s="72"/>
      <c r="GU109" s="72"/>
      <c r="GV109" s="72"/>
      <c r="GW109" s="72"/>
      <c r="GX109" s="72"/>
      <c r="GY109" s="72"/>
      <c r="GZ109" s="72"/>
      <c r="HA109" s="72"/>
      <c r="HB109" s="72"/>
      <c r="HC109" s="72"/>
      <c r="HD109" s="72"/>
      <c r="HE109" s="72"/>
      <c r="HF109" s="72"/>
      <c r="HG109" s="72"/>
      <c r="HH109" s="72"/>
      <c r="HI109" s="72"/>
      <c r="HJ109" s="72"/>
      <c r="HK109" s="72"/>
      <c r="HL109" s="72"/>
      <c r="HM109" s="72"/>
    </row>
    <row r="110" spans="1:221" outlineLevel="1">
      <c r="A110" s="49" t="s">
        <v>338</v>
      </c>
      <c r="B110" s="50" t="s">
        <v>494</v>
      </c>
      <c r="C110" s="51" t="s">
        <v>146</v>
      </c>
      <c r="D110" s="51" t="s">
        <v>563</v>
      </c>
      <c r="E110" s="52">
        <v>46265</v>
      </c>
      <c r="F110" s="52">
        <v>46269</v>
      </c>
      <c r="G110" s="53">
        <f>IF(OR($H110="삭제",$H110="작업대기",$H110="보류"),0,IF($H110="완료",1,IFERROR(MIN(0.99,MAX(0,($F$3-$E110)/($F110-$E110))),0)))</f>
        <v>1</v>
      </c>
      <c r="H110" s="51" t="s">
        <v>78</v>
      </c>
      <c r="I110" s="50" t="str">
        <f ca="1">IF(AND($F110&lt;&gt;"",$F110&lt;$F$3,$H110&lt;&gt;"완료",$H110&lt;&gt;"삭제",$H110&lt;&gt;"보류",$H110&lt;&gt;""),"⚠ 마감 초과",IF(AND($F110&lt;&gt;"",$F110&gt;$F$3,$H110="완료"),"⚡ 미래 날짜 완료 이상",""))</f>
        <v/>
      </c>
      <c r="J110" s="50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72"/>
      <c r="GG110" s="72"/>
      <c r="GH110" s="72"/>
      <c r="GI110" s="72"/>
      <c r="GJ110" s="72"/>
      <c r="GK110" s="72"/>
      <c r="GL110" s="72"/>
      <c r="GM110" s="72"/>
      <c r="GN110" s="72"/>
      <c r="GO110" s="72"/>
      <c r="GP110" s="72"/>
      <c r="GQ110" s="72"/>
      <c r="GR110" s="72"/>
      <c r="GS110" s="72"/>
      <c r="GT110" s="72"/>
      <c r="GU110" s="72"/>
      <c r="GV110" s="72"/>
      <c r="GW110" s="72"/>
      <c r="GX110" s="72"/>
      <c r="GY110" s="72"/>
      <c r="GZ110" s="72"/>
      <c r="HA110" s="72"/>
      <c r="HB110" s="72"/>
      <c r="HC110" s="72"/>
      <c r="HD110" s="72"/>
      <c r="HE110" s="72"/>
      <c r="HF110" s="72"/>
      <c r="HG110" s="72"/>
      <c r="HH110" s="72"/>
      <c r="HI110" s="72"/>
      <c r="HJ110" s="72"/>
      <c r="HK110" s="72"/>
      <c r="HL110" s="72"/>
      <c r="HM110" s="72"/>
    </row>
    <row r="111" spans="1:221">
      <c r="A111" s="59" t="s">
        <v>545</v>
      </c>
      <c r="B111" s="60" t="s">
        <v>158</v>
      </c>
      <c r="C111" s="61"/>
      <c r="D111" s="61"/>
      <c r="E111" s="62">
        <f>IFERROR(IF(COUNT($E113:$E129)=0,"",_xlfn.MINIFS($E113:$E129,$C113:$C129,"&lt;&gt;",$H113:$H129,"&lt;&gt;삭제")),"")</f>
        <v>46258</v>
      </c>
      <c r="F111" s="62">
        <f>IFERROR(IF(COUNT($F113:$F129)=0,"",_xlfn.MAXIFS($F113:$F129,$C113:$C129,"&lt;&gt;",$H113:$H129,"&lt;&gt;삭제")),"")</f>
        <v>46283</v>
      </c>
      <c r="G111" s="63">
        <f ca="1">IFERROR(AVERAGEIFS(G112:G129,$C112:$C129,"&lt;&gt;",$H112:$H129,"&lt;&gt;삭제"),0)</f>
        <v>0.53769230769230769</v>
      </c>
      <c r="H111" s="61" t="str">
        <f ca="1">IF($G111&gt;=1,"완료",IF($G111&gt;0,"진행중","작업대기"))</f>
        <v>진행중</v>
      </c>
      <c r="I111" s="60"/>
      <c r="J111" s="60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/>
      <c r="DX111" s="72"/>
      <c r="DY111" s="72"/>
      <c r="DZ111" s="72"/>
      <c r="EA111" s="72"/>
      <c r="EB111" s="72"/>
      <c r="EC111" s="72"/>
      <c r="ED111" s="72"/>
      <c r="EE111" s="72"/>
      <c r="EF111" s="72"/>
      <c r="EG111" s="72"/>
      <c r="EH111" s="72"/>
      <c r="EI111" s="72"/>
      <c r="EJ111" s="72"/>
      <c r="EK111" s="72"/>
      <c r="EL111" s="72"/>
      <c r="EM111" s="72"/>
      <c r="EN111" s="72"/>
      <c r="EO111" s="72"/>
      <c r="EP111" s="72"/>
      <c r="EQ111" s="72"/>
      <c r="ER111" s="72"/>
      <c r="ES111" s="72"/>
      <c r="ET111" s="72"/>
      <c r="EU111" s="72"/>
      <c r="EV111" s="72"/>
      <c r="EW111" s="72"/>
      <c r="EX111" s="72"/>
      <c r="EY111" s="72"/>
      <c r="EZ111" s="72"/>
      <c r="FA111" s="72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72"/>
      <c r="FM111" s="72"/>
      <c r="FN111" s="72"/>
      <c r="FO111" s="72"/>
      <c r="FP111" s="72"/>
      <c r="FQ111" s="72"/>
      <c r="FR111" s="72"/>
      <c r="FS111" s="72"/>
      <c r="FT111" s="72"/>
      <c r="FU111" s="72"/>
      <c r="FV111" s="72"/>
      <c r="FW111" s="72"/>
      <c r="FX111" s="72"/>
      <c r="FY111" s="72"/>
      <c r="FZ111" s="72"/>
      <c r="GA111" s="72"/>
      <c r="GB111" s="72"/>
      <c r="GC111" s="72"/>
      <c r="GD111" s="72"/>
      <c r="GE111" s="72"/>
      <c r="GF111" s="72"/>
      <c r="GG111" s="72"/>
      <c r="GH111" s="72"/>
      <c r="GI111" s="72"/>
      <c r="GJ111" s="72"/>
      <c r="GK111" s="72"/>
      <c r="GL111" s="72"/>
      <c r="GM111" s="72"/>
      <c r="GN111" s="72"/>
      <c r="GO111" s="72"/>
      <c r="GP111" s="72"/>
      <c r="GQ111" s="72"/>
      <c r="GR111" s="72"/>
      <c r="GS111" s="72"/>
      <c r="GT111" s="72"/>
      <c r="GU111" s="72"/>
      <c r="GV111" s="72"/>
      <c r="GW111" s="72"/>
      <c r="GX111" s="72"/>
      <c r="GY111" s="72"/>
      <c r="GZ111" s="72"/>
      <c r="HA111" s="72"/>
      <c r="HB111" s="72"/>
      <c r="HC111" s="72"/>
      <c r="HD111" s="72"/>
      <c r="HE111" s="72"/>
      <c r="HF111" s="72"/>
      <c r="HG111" s="72"/>
      <c r="HH111" s="72"/>
      <c r="HI111" s="72"/>
      <c r="HJ111" s="72"/>
      <c r="HK111" s="72"/>
      <c r="HL111" s="72"/>
      <c r="HM111" s="72"/>
    </row>
    <row r="112" spans="1:221">
      <c r="A112" s="64" t="s">
        <v>546</v>
      </c>
      <c r="B112" s="65" t="s">
        <v>495</v>
      </c>
      <c r="C112" s="66"/>
      <c r="D112" s="66"/>
      <c r="E112" s="67" t="str">
        <f>IFERROR(IF(COUNT($E113:$E114)=0,"",_xlfn.MINIFS($E113:$E114,$C113:$C114,"&lt;&gt;",$H113:$H114,"&lt;&gt;삭제")),"")</f>
        <v/>
      </c>
      <c r="F112" s="67" t="str">
        <f>IFERROR(IF(COUNT($F113:$F114)=0,"",_xlfn.MAXIFS($F113:$F114,$C113:$C114,"&lt;&gt;",$H113:$H114,"&lt;&gt;삭제")),"")</f>
        <v/>
      </c>
      <c r="G112" s="68">
        <f>IFERROR(AVERAGEIFS(G113:G114,$C113:$C114,"&lt;&gt;",$H113:$H114,"&lt;&gt;삭제"),0)</f>
        <v>0</v>
      </c>
      <c r="H112" s="66" t="str">
        <f>IF($G112&gt;=1,"완료",IF($G112&gt;0,"진행중","작업대기"))</f>
        <v>작업대기</v>
      </c>
      <c r="I112" s="65"/>
      <c r="J112" s="65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72"/>
      <c r="DM112" s="72"/>
      <c r="DN112" s="72"/>
      <c r="DO112" s="72"/>
      <c r="DP112" s="72"/>
      <c r="DQ112" s="72"/>
      <c r="DR112" s="72"/>
      <c r="DS112" s="72"/>
      <c r="DT112" s="72"/>
      <c r="DU112" s="72"/>
      <c r="DV112" s="72"/>
      <c r="DW112" s="72"/>
      <c r="DX112" s="72"/>
      <c r="DY112" s="72"/>
      <c r="DZ112" s="72"/>
      <c r="EA112" s="72"/>
      <c r="EB112" s="72"/>
      <c r="EC112" s="72"/>
      <c r="ED112" s="72"/>
      <c r="EE112" s="72"/>
      <c r="EF112" s="72"/>
      <c r="EG112" s="72"/>
      <c r="EH112" s="72"/>
      <c r="EI112" s="72"/>
      <c r="EJ112" s="72"/>
      <c r="EK112" s="72"/>
      <c r="EL112" s="72"/>
      <c r="EM112" s="72"/>
      <c r="EN112" s="72"/>
      <c r="EO112" s="72"/>
      <c r="EP112" s="72"/>
      <c r="EQ112" s="72"/>
      <c r="ER112" s="72"/>
      <c r="ES112" s="72"/>
      <c r="ET112" s="72"/>
      <c r="EU112" s="72"/>
      <c r="EV112" s="72"/>
      <c r="EW112" s="72"/>
      <c r="EX112" s="72"/>
      <c r="EY112" s="72"/>
      <c r="EZ112" s="72"/>
      <c r="FA112" s="72"/>
      <c r="FB112" s="72"/>
      <c r="FC112" s="72"/>
      <c r="FD112" s="72"/>
      <c r="FE112" s="72"/>
      <c r="FF112" s="72"/>
      <c r="FG112" s="72"/>
      <c r="FH112" s="72"/>
      <c r="FI112" s="72"/>
      <c r="FJ112" s="72"/>
      <c r="FK112" s="72"/>
      <c r="FL112" s="72"/>
      <c r="FM112" s="72"/>
      <c r="FN112" s="72"/>
      <c r="FO112" s="72"/>
      <c r="FP112" s="72"/>
      <c r="FQ112" s="72"/>
      <c r="FR112" s="72"/>
      <c r="FS112" s="72"/>
      <c r="FT112" s="72"/>
      <c r="FU112" s="72"/>
      <c r="FV112" s="72"/>
      <c r="FW112" s="72"/>
      <c r="FX112" s="72"/>
      <c r="FY112" s="72"/>
      <c r="FZ112" s="72"/>
      <c r="GA112" s="72"/>
      <c r="GB112" s="72"/>
      <c r="GC112" s="72"/>
      <c r="GD112" s="72"/>
      <c r="GE112" s="72"/>
      <c r="GF112" s="72"/>
      <c r="GG112" s="72"/>
      <c r="GH112" s="72"/>
      <c r="GI112" s="72"/>
      <c r="GJ112" s="72"/>
      <c r="GK112" s="72"/>
      <c r="GL112" s="72"/>
      <c r="GM112" s="72"/>
      <c r="GN112" s="72"/>
      <c r="GO112" s="72"/>
      <c r="GP112" s="72"/>
      <c r="GQ112" s="72"/>
      <c r="GR112" s="72"/>
      <c r="GS112" s="72"/>
      <c r="GT112" s="72"/>
      <c r="GU112" s="72"/>
      <c r="GV112" s="72"/>
      <c r="GW112" s="72"/>
      <c r="GX112" s="72"/>
      <c r="GY112" s="72"/>
      <c r="GZ112" s="72"/>
      <c r="HA112" s="72"/>
      <c r="HB112" s="72"/>
      <c r="HC112" s="72"/>
      <c r="HD112" s="72"/>
      <c r="HE112" s="72"/>
      <c r="HF112" s="72"/>
      <c r="HG112" s="72"/>
      <c r="HH112" s="72"/>
      <c r="HI112" s="72"/>
      <c r="HJ112" s="72"/>
      <c r="HK112" s="72"/>
      <c r="HL112" s="72"/>
      <c r="HM112" s="72"/>
    </row>
    <row r="113" spans="1:221" outlineLevel="1">
      <c r="A113" s="49" t="s">
        <v>339</v>
      </c>
      <c r="B113" s="50" t="s">
        <v>496</v>
      </c>
      <c r="C113" s="51" t="s">
        <v>146</v>
      </c>
      <c r="D113" s="51" t="s">
        <v>563</v>
      </c>
      <c r="E113" s="52"/>
      <c r="F113" s="52"/>
      <c r="G113" s="53">
        <f>IF(OR($H113="삭제",$H113="작업대기",$H113="보류"),0,IF($H113="완료",1,IFERROR(MIN(0.99,MAX(0,($F$3-$E113)/($F113-$E113))),0)))</f>
        <v>0</v>
      </c>
      <c r="H113" s="51" t="s">
        <v>106</v>
      </c>
      <c r="I113" s="50" t="str">
        <f ca="1">IF(AND($F113&lt;&gt;"",$F113&lt;$F$3,$H113&lt;&gt;"완료",$H113&lt;&gt;"삭제",$H113&lt;&gt;"보류",$H113&lt;&gt;""),"⚠ 마감 초과",IF(AND($F113&lt;&gt;"",$F113&gt;$F$3,$H113="완료"),"⚡ 미래 날짜 완료 이상",""))</f>
        <v/>
      </c>
      <c r="J113" s="50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  <c r="HJ113" s="72"/>
      <c r="HK113" s="72"/>
      <c r="HL113" s="72"/>
      <c r="HM113" s="72"/>
    </row>
    <row r="114" spans="1:221" outlineLevel="1">
      <c r="A114" s="49" t="s">
        <v>340</v>
      </c>
      <c r="B114" s="50" t="s">
        <v>497</v>
      </c>
      <c r="C114" s="51" t="s">
        <v>146</v>
      </c>
      <c r="D114" s="51" t="s">
        <v>563</v>
      </c>
      <c r="E114" s="52"/>
      <c r="F114" s="52"/>
      <c r="G114" s="53">
        <f>IF(OR($H114="삭제",$H114="작업대기",$H114="보류"),0,IF($H114="완료",1,IFERROR(MIN(0.99,MAX(0,($F$3-$E114)/($F114-$E114))),0)))</f>
        <v>0</v>
      </c>
      <c r="H114" s="51" t="s">
        <v>106</v>
      </c>
      <c r="I114" s="50" t="str">
        <f ca="1">IF(AND($F114&lt;&gt;"",$F114&lt;$F$3,$H114&lt;&gt;"완료",$H114&lt;&gt;"삭제",$H114&lt;&gt;"보류",$H114&lt;&gt;""),"⚠ 마감 초과",IF(AND($F114&lt;&gt;"",$F114&gt;$F$3,$H114="완료"),"⚡ 미래 날짜 완료 이상",""))</f>
        <v/>
      </c>
      <c r="J114" s="50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72"/>
      <c r="FM114" s="72"/>
      <c r="FN114" s="72"/>
      <c r="FO114" s="72"/>
      <c r="FP114" s="72"/>
      <c r="FQ114" s="72"/>
      <c r="FR114" s="72"/>
      <c r="FS114" s="72"/>
      <c r="FT114" s="72"/>
      <c r="FU114" s="72"/>
      <c r="FV114" s="72"/>
      <c r="FW114" s="72"/>
      <c r="FX114" s="72"/>
      <c r="FY114" s="72"/>
      <c r="FZ114" s="72"/>
      <c r="GA114" s="72"/>
      <c r="GB114" s="72"/>
      <c r="GC114" s="72"/>
      <c r="GD114" s="72"/>
      <c r="GE114" s="72"/>
      <c r="GF114" s="72"/>
      <c r="GG114" s="72"/>
      <c r="GH114" s="72"/>
      <c r="GI114" s="72"/>
      <c r="GJ114" s="72"/>
      <c r="GK114" s="72"/>
      <c r="GL114" s="72"/>
      <c r="GM114" s="72"/>
      <c r="GN114" s="72"/>
      <c r="GO114" s="72"/>
      <c r="GP114" s="72"/>
      <c r="GQ114" s="72"/>
      <c r="GR114" s="72"/>
      <c r="GS114" s="72"/>
      <c r="GT114" s="72"/>
      <c r="GU114" s="72"/>
      <c r="GV114" s="72"/>
      <c r="GW114" s="72"/>
      <c r="GX114" s="72"/>
      <c r="GY114" s="72"/>
      <c r="GZ114" s="72"/>
      <c r="HA114" s="72"/>
      <c r="HB114" s="72"/>
      <c r="HC114" s="72"/>
      <c r="HD114" s="72"/>
      <c r="HE114" s="72"/>
      <c r="HF114" s="72"/>
      <c r="HG114" s="72"/>
      <c r="HH114" s="72"/>
      <c r="HI114" s="72"/>
      <c r="HJ114" s="72"/>
      <c r="HK114" s="72"/>
      <c r="HL114" s="72"/>
      <c r="HM114" s="72"/>
    </row>
    <row r="115" spans="1:221">
      <c r="A115" s="64" t="s">
        <v>547</v>
      </c>
      <c r="B115" s="65" t="s">
        <v>498</v>
      </c>
      <c r="C115" s="66"/>
      <c r="D115" s="66"/>
      <c r="E115" s="67">
        <f>IFERROR(IF(COUNT($E116:$E118)=0,"",_xlfn.MINIFS($E116:$E118,$C116:$C118,"&lt;&gt;",$H116:$H118,"&lt;&gt;삭제")),"")</f>
        <v>46258</v>
      </c>
      <c r="F115" s="67">
        <f>IFERROR(IF(COUNT($F116:$F118)=0,"",_xlfn.MAXIFS($F116:$F118,$C116:$C118,"&lt;&gt;",$H116:$H118,"&lt;&gt;삭제")),"")</f>
        <v>46275</v>
      </c>
      <c r="G115" s="68">
        <f ca="1">IFERROR(AVERAGEIFS(G116:G118,$C116:$C118,"&lt;&gt;",$H116:$H118,"&lt;&gt;삭제"),0)</f>
        <v>0.9966666666666667</v>
      </c>
      <c r="H115" s="66" t="str">
        <f ca="1">IF($G115&gt;=1,"완료",IF($G115&gt;0,"진행중","작업대기"))</f>
        <v>진행중</v>
      </c>
      <c r="I115" s="65"/>
      <c r="J115" s="65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  <c r="DY115" s="72"/>
      <c r="DZ115" s="72"/>
      <c r="EA115" s="72"/>
      <c r="EB115" s="72"/>
      <c r="EC115" s="72"/>
      <c r="ED115" s="72"/>
      <c r="EE115" s="72"/>
      <c r="EF115" s="72"/>
      <c r="EG115" s="72"/>
      <c r="EH115" s="72"/>
      <c r="EI115" s="72"/>
      <c r="EJ115" s="72"/>
      <c r="EK115" s="72"/>
      <c r="EL115" s="72"/>
      <c r="EM115" s="72"/>
      <c r="EN115" s="72"/>
      <c r="EO115" s="72"/>
      <c r="EP115" s="72"/>
      <c r="EQ115" s="72"/>
      <c r="ER115" s="72"/>
      <c r="ES115" s="72"/>
      <c r="ET115" s="72"/>
      <c r="EU115" s="72"/>
      <c r="EV115" s="72"/>
      <c r="EW115" s="72"/>
      <c r="EX115" s="72"/>
      <c r="EY115" s="72"/>
      <c r="EZ115" s="72"/>
      <c r="FA115" s="72"/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72"/>
      <c r="FM115" s="72"/>
      <c r="FN115" s="72"/>
      <c r="FO115" s="72"/>
      <c r="FP115" s="72"/>
      <c r="FQ115" s="72"/>
      <c r="FR115" s="72"/>
      <c r="FS115" s="72"/>
      <c r="FT115" s="72"/>
      <c r="FU115" s="72"/>
      <c r="FV115" s="72"/>
      <c r="FW115" s="72"/>
      <c r="FX115" s="72"/>
      <c r="FY115" s="72"/>
      <c r="FZ115" s="72"/>
      <c r="GA115" s="72"/>
      <c r="GB115" s="72"/>
      <c r="GC115" s="72"/>
      <c r="GD115" s="72"/>
      <c r="GE115" s="72"/>
      <c r="GF115" s="72"/>
      <c r="GG115" s="72"/>
      <c r="GH115" s="72"/>
      <c r="GI115" s="72"/>
      <c r="GJ115" s="72"/>
      <c r="GK115" s="72"/>
      <c r="GL115" s="72"/>
      <c r="GM115" s="72"/>
      <c r="GN115" s="72"/>
      <c r="GO115" s="72"/>
      <c r="GP115" s="72"/>
      <c r="GQ115" s="72"/>
      <c r="GR115" s="72"/>
      <c r="GS115" s="72"/>
      <c r="GT115" s="72"/>
      <c r="GU115" s="72"/>
      <c r="GV115" s="72"/>
      <c r="GW115" s="72"/>
      <c r="GX115" s="72"/>
      <c r="GY115" s="72"/>
      <c r="GZ115" s="72"/>
      <c r="HA115" s="72"/>
      <c r="HB115" s="72"/>
      <c r="HC115" s="72"/>
      <c r="HD115" s="72"/>
      <c r="HE115" s="72"/>
      <c r="HF115" s="72"/>
      <c r="HG115" s="72"/>
      <c r="HH115" s="72"/>
      <c r="HI115" s="72"/>
      <c r="HJ115" s="72"/>
      <c r="HK115" s="72"/>
      <c r="HL115" s="72"/>
      <c r="HM115" s="72"/>
    </row>
    <row r="116" spans="1:221" outlineLevel="1">
      <c r="A116" s="49" t="s">
        <v>341</v>
      </c>
      <c r="B116" s="50" t="s">
        <v>499</v>
      </c>
      <c r="C116" s="51" t="s">
        <v>146</v>
      </c>
      <c r="D116" s="51" t="s">
        <v>563</v>
      </c>
      <c r="E116" s="52">
        <v>46258</v>
      </c>
      <c r="F116" s="52">
        <v>46275</v>
      </c>
      <c r="G116" s="53">
        <f ca="1">IF(OR($H116="삭제",$H116="작업대기",$H116="보류"),0,IF($H116="완료",1,IFERROR(MIN(0.99,MAX(0,($F$3-$E116)/($F116-$E116))),0)))</f>
        <v>0.99</v>
      </c>
      <c r="H116" s="51" t="s">
        <v>209</v>
      </c>
      <c r="I116" s="50" t="str">
        <f ca="1">IF(AND($F116&lt;&gt;"",$F116&lt;$F$3,$H116&lt;&gt;"완료",$H116&lt;&gt;"삭제",$H116&lt;&gt;"보류",$H116&lt;&gt;""),"⚠ 마감 초과",IF(AND($F116&lt;&gt;"",$F116&gt;$F$3,$H116="완료"),"⚡ 미래 날짜 완료 이상",""))</f>
        <v>⚠ 마감 초과</v>
      </c>
      <c r="J116" s="50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  <c r="DY116" s="72"/>
      <c r="DZ116" s="72"/>
      <c r="EA116" s="72"/>
      <c r="EB116" s="72"/>
      <c r="EC116" s="72"/>
      <c r="ED116" s="72"/>
      <c r="EE116" s="72"/>
      <c r="EF116" s="72"/>
      <c r="EG116" s="72"/>
      <c r="EH116" s="72"/>
      <c r="EI116" s="72"/>
      <c r="EJ116" s="72"/>
      <c r="EK116" s="72"/>
      <c r="EL116" s="72"/>
      <c r="EM116" s="72"/>
      <c r="EN116" s="72"/>
      <c r="EO116" s="72"/>
      <c r="EP116" s="72"/>
      <c r="EQ116" s="72"/>
      <c r="ER116" s="72"/>
      <c r="ES116" s="72"/>
      <c r="ET116" s="72"/>
      <c r="EU116" s="72"/>
      <c r="EV116" s="72"/>
      <c r="EW116" s="72"/>
      <c r="EX116" s="72"/>
      <c r="EY116" s="72"/>
      <c r="EZ116" s="72"/>
      <c r="FA116" s="72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72"/>
      <c r="FM116" s="72"/>
      <c r="FN116" s="72"/>
      <c r="FO116" s="72"/>
      <c r="FP116" s="72"/>
      <c r="FQ116" s="72"/>
      <c r="FR116" s="72"/>
      <c r="FS116" s="72"/>
      <c r="FT116" s="72"/>
      <c r="FU116" s="72"/>
      <c r="FV116" s="72"/>
      <c r="FW116" s="72"/>
      <c r="FX116" s="72"/>
      <c r="FY116" s="72"/>
      <c r="FZ116" s="72"/>
      <c r="GA116" s="72"/>
      <c r="GB116" s="72"/>
      <c r="GC116" s="72"/>
      <c r="GD116" s="72"/>
      <c r="GE116" s="72"/>
      <c r="GF116" s="72"/>
      <c r="GG116" s="72"/>
      <c r="GH116" s="72"/>
      <c r="GI116" s="72"/>
      <c r="GJ116" s="72"/>
      <c r="GK116" s="72"/>
      <c r="GL116" s="72"/>
      <c r="GM116" s="72"/>
      <c r="GN116" s="72"/>
      <c r="GO116" s="72"/>
      <c r="GP116" s="72"/>
      <c r="GQ116" s="72"/>
      <c r="GR116" s="72"/>
      <c r="GS116" s="72"/>
      <c r="GT116" s="72"/>
      <c r="GU116" s="72"/>
      <c r="GV116" s="72"/>
      <c r="GW116" s="72"/>
      <c r="GX116" s="72"/>
      <c r="GY116" s="72"/>
      <c r="GZ116" s="72"/>
      <c r="HA116" s="72"/>
      <c r="HB116" s="72"/>
      <c r="HC116" s="72"/>
      <c r="HD116" s="72"/>
      <c r="HE116" s="72"/>
      <c r="HF116" s="72"/>
      <c r="HG116" s="72"/>
      <c r="HH116" s="72"/>
      <c r="HI116" s="72"/>
      <c r="HJ116" s="72"/>
      <c r="HK116" s="72"/>
      <c r="HL116" s="72"/>
      <c r="HM116" s="72"/>
    </row>
    <row r="117" spans="1:221" outlineLevel="1">
      <c r="A117" s="49" t="s">
        <v>342</v>
      </c>
      <c r="B117" s="50" t="s">
        <v>500</v>
      </c>
      <c r="C117" s="51" t="s">
        <v>146</v>
      </c>
      <c r="D117" s="51" t="s">
        <v>563</v>
      </c>
      <c r="E117" s="52">
        <v>46260</v>
      </c>
      <c r="F117" s="52">
        <v>46267</v>
      </c>
      <c r="G117" s="53">
        <f>IF(OR($H117="삭제",$H117="작업대기",$H117="보류"),0,IF($H117="완료",1,IFERROR(MIN(0.99,MAX(0,($F$3-$E117)/($F117-$E117))),0)))</f>
        <v>1</v>
      </c>
      <c r="H117" s="51" t="s">
        <v>78</v>
      </c>
      <c r="I117" s="50" t="str">
        <f ca="1">IF(AND($F117&lt;&gt;"",$F117&lt;$F$3,$H117&lt;&gt;"완료",$H117&lt;&gt;"삭제",$H117&lt;&gt;"보류",$H117&lt;&gt;""),"⚠ 마감 초과",IF(AND($F117&lt;&gt;"",$F117&gt;$F$3,$H117="완료"),"⚡ 미래 날짜 완료 이상",""))</f>
        <v/>
      </c>
      <c r="J117" s="50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72"/>
      <c r="DM117" s="72"/>
      <c r="DN117" s="72"/>
      <c r="DO117" s="72"/>
      <c r="DP117" s="72"/>
      <c r="DQ117" s="72"/>
      <c r="DR117" s="72"/>
      <c r="DS117" s="72"/>
      <c r="DT117" s="72"/>
      <c r="DU117" s="72"/>
      <c r="DV117" s="72"/>
      <c r="DW117" s="72"/>
      <c r="DX117" s="72"/>
      <c r="DY117" s="72"/>
      <c r="DZ117" s="72"/>
      <c r="EA117" s="72"/>
      <c r="EB117" s="72"/>
      <c r="EC117" s="72"/>
      <c r="ED117" s="72"/>
      <c r="EE117" s="72"/>
      <c r="EF117" s="72"/>
      <c r="EG117" s="72"/>
      <c r="EH117" s="72"/>
      <c r="EI117" s="72"/>
      <c r="EJ117" s="72"/>
      <c r="EK117" s="72"/>
      <c r="EL117" s="72"/>
      <c r="EM117" s="72"/>
      <c r="EN117" s="72"/>
      <c r="EO117" s="72"/>
      <c r="EP117" s="72"/>
      <c r="EQ117" s="72"/>
      <c r="ER117" s="72"/>
      <c r="ES117" s="72"/>
      <c r="ET117" s="72"/>
      <c r="EU117" s="72"/>
      <c r="EV117" s="72"/>
      <c r="EW117" s="72"/>
      <c r="EX117" s="72"/>
      <c r="EY117" s="72"/>
      <c r="EZ117" s="72"/>
      <c r="FA117" s="72"/>
      <c r="FB117" s="72"/>
      <c r="FC117" s="72"/>
      <c r="FD117" s="72"/>
      <c r="FE117" s="72"/>
      <c r="FF117" s="72"/>
      <c r="FG117" s="72"/>
      <c r="FH117" s="72"/>
      <c r="FI117" s="72"/>
      <c r="FJ117" s="72"/>
      <c r="FK117" s="72"/>
      <c r="FL117" s="72"/>
      <c r="FM117" s="72"/>
      <c r="FN117" s="72"/>
      <c r="FO117" s="72"/>
      <c r="FP117" s="72"/>
      <c r="FQ117" s="72"/>
      <c r="FR117" s="72"/>
      <c r="FS117" s="72"/>
      <c r="FT117" s="72"/>
      <c r="FU117" s="72"/>
      <c r="FV117" s="72"/>
      <c r="FW117" s="72"/>
      <c r="FX117" s="72"/>
      <c r="FY117" s="72"/>
      <c r="FZ117" s="72"/>
      <c r="GA117" s="72"/>
      <c r="GB117" s="72"/>
      <c r="GC117" s="72"/>
      <c r="GD117" s="72"/>
      <c r="GE117" s="72"/>
      <c r="GF117" s="72"/>
      <c r="GG117" s="72"/>
      <c r="GH117" s="72"/>
      <c r="GI117" s="72"/>
      <c r="GJ117" s="72"/>
      <c r="GK117" s="72"/>
      <c r="GL117" s="72"/>
      <c r="GM117" s="72"/>
      <c r="GN117" s="72"/>
      <c r="GO117" s="72"/>
      <c r="GP117" s="72"/>
      <c r="GQ117" s="72"/>
      <c r="GR117" s="72"/>
      <c r="GS117" s="72"/>
      <c r="GT117" s="72"/>
      <c r="GU117" s="72"/>
      <c r="GV117" s="72"/>
      <c r="GW117" s="72"/>
      <c r="GX117" s="72"/>
      <c r="GY117" s="72"/>
      <c r="GZ117" s="72"/>
      <c r="HA117" s="72"/>
      <c r="HB117" s="72"/>
      <c r="HC117" s="72"/>
      <c r="HD117" s="72"/>
      <c r="HE117" s="72"/>
      <c r="HF117" s="72"/>
      <c r="HG117" s="72"/>
      <c r="HH117" s="72"/>
      <c r="HI117" s="72"/>
      <c r="HJ117" s="72"/>
      <c r="HK117" s="72"/>
      <c r="HL117" s="72"/>
      <c r="HM117" s="72"/>
    </row>
    <row r="118" spans="1:221" outlineLevel="1">
      <c r="A118" s="49" t="s">
        <v>343</v>
      </c>
      <c r="B118" s="50" t="s">
        <v>501</v>
      </c>
      <c r="C118" s="51" t="s">
        <v>146</v>
      </c>
      <c r="D118" s="51" t="s">
        <v>563</v>
      </c>
      <c r="E118" s="52">
        <v>46260</v>
      </c>
      <c r="F118" s="52">
        <v>46267</v>
      </c>
      <c r="G118" s="53">
        <f>IF(OR($H118="삭제",$H118="작업대기",$H118="보류"),0,IF($H118="완료",1,IFERROR(MIN(0.99,MAX(0,($F$3-$E118)/($F118-$E118))),0)))</f>
        <v>1</v>
      </c>
      <c r="H118" s="51" t="s">
        <v>78</v>
      </c>
      <c r="I118" s="50" t="str">
        <f ca="1">IF(AND($F118&lt;&gt;"",$F118&lt;$F$3,$H118&lt;&gt;"완료",$H118&lt;&gt;"삭제",$H118&lt;&gt;"보류",$H118&lt;&gt;""),"⚠ 마감 초과",IF(AND($F118&lt;&gt;"",$F118&gt;$F$3,$H118="완료"),"⚡ 미래 날짜 완료 이상",""))</f>
        <v/>
      </c>
      <c r="J118" s="50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72"/>
      <c r="FM118" s="72"/>
      <c r="FN118" s="72"/>
      <c r="FO118" s="72"/>
      <c r="FP118" s="72"/>
      <c r="FQ118" s="72"/>
      <c r="FR118" s="72"/>
      <c r="FS118" s="72"/>
      <c r="FT118" s="72"/>
      <c r="FU118" s="72"/>
      <c r="FV118" s="72"/>
      <c r="FW118" s="72"/>
      <c r="FX118" s="72"/>
      <c r="FY118" s="72"/>
      <c r="FZ118" s="72"/>
      <c r="GA118" s="72"/>
      <c r="GB118" s="72"/>
      <c r="GC118" s="72"/>
      <c r="GD118" s="72"/>
      <c r="GE118" s="72"/>
      <c r="GF118" s="72"/>
      <c r="GG118" s="72"/>
      <c r="GH118" s="72"/>
      <c r="GI118" s="72"/>
      <c r="GJ118" s="72"/>
      <c r="GK118" s="72"/>
      <c r="GL118" s="72"/>
      <c r="GM118" s="72"/>
      <c r="GN118" s="72"/>
      <c r="GO118" s="72"/>
      <c r="GP118" s="72"/>
      <c r="GQ118" s="72"/>
      <c r="GR118" s="72"/>
      <c r="GS118" s="72"/>
      <c r="GT118" s="72"/>
      <c r="GU118" s="72"/>
      <c r="GV118" s="72"/>
      <c r="GW118" s="72"/>
      <c r="GX118" s="72"/>
      <c r="GY118" s="72"/>
      <c r="GZ118" s="72"/>
      <c r="HA118" s="72"/>
      <c r="HB118" s="72"/>
      <c r="HC118" s="72"/>
      <c r="HD118" s="72"/>
      <c r="HE118" s="72"/>
      <c r="HF118" s="72"/>
      <c r="HG118" s="72"/>
      <c r="HH118" s="72"/>
      <c r="HI118" s="72"/>
      <c r="HJ118" s="72"/>
      <c r="HK118" s="72"/>
      <c r="HL118" s="72"/>
      <c r="HM118" s="72"/>
    </row>
    <row r="119" spans="1:221">
      <c r="A119" s="64" t="s">
        <v>548</v>
      </c>
      <c r="B119" s="65" t="s">
        <v>502</v>
      </c>
      <c r="C119" s="66"/>
      <c r="D119" s="66"/>
      <c r="E119" s="67">
        <f>IFERROR(IF(COUNT($E120:$E122)=0,"",_xlfn.MINIFS($E120:$E122,$C120:$C122,"&lt;&gt;",$H120:$H122,"&lt;&gt;삭제")),"")</f>
        <v>46258</v>
      </c>
      <c r="F119" s="67">
        <f>IFERROR(IF(COUNT($F120:$F122)=0,"",_xlfn.MAXIFS($F120:$F122,$C120:$C122,"&lt;&gt;",$H120:$H122,"&lt;&gt;삭제")),"")</f>
        <v>46264</v>
      </c>
      <c r="G119" s="68">
        <f>IFERROR(AVERAGEIFS(G120:G122,$C120:$C122,"&lt;&gt;",$H120:$H122,"&lt;&gt;삭제"),0)</f>
        <v>0.66666666666666663</v>
      </c>
      <c r="H119" s="66" t="str">
        <f>IF($G119&gt;=1,"완료",IF($G119&gt;0,"진행중","작업대기"))</f>
        <v>진행중</v>
      </c>
      <c r="I119" s="65"/>
      <c r="J119" s="65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72"/>
      <c r="FM119" s="72"/>
      <c r="FN119" s="72"/>
      <c r="FO119" s="72"/>
      <c r="FP119" s="72"/>
      <c r="FQ119" s="72"/>
      <c r="FR119" s="72"/>
      <c r="FS119" s="72"/>
      <c r="FT119" s="72"/>
      <c r="FU119" s="72"/>
      <c r="FV119" s="72"/>
      <c r="FW119" s="72"/>
      <c r="FX119" s="72"/>
      <c r="FY119" s="72"/>
      <c r="FZ119" s="72"/>
      <c r="GA119" s="72"/>
      <c r="GB119" s="72"/>
      <c r="GC119" s="72"/>
      <c r="GD119" s="72"/>
      <c r="GE119" s="72"/>
      <c r="GF119" s="72"/>
      <c r="GG119" s="72"/>
      <c r="GH119" s="72"/>
      <c r="GI119" s="72"/>
      <c r="GJ119" s="72"/>
      <c r="GK119" s="72"/>
      <c r="GL119" s="72"/>
      <c r="GM119" s="72"/>
      <c r="GN119" s="72"/>
      <c r="GO119" s="72"/>
      <c r="GP119" s="72"/>
      <c r="GQ119" s="72"/>
      <c r="GR119" s="72"/>
      <c r="GS119" s="72"/>
      <c r="GT119" s="72"/>
      <c r="GU119" s="72"/>
      <c r="GV119" s="72"/>
      <c r="GW119" s="72"/>
      <c r="GX119" s="72"/>
      <c r="GY119" s="72"/>
      <c r="GZ119" s="72"/>
      <c r="HA119" s="72"/>
      <c r="HB119" s="72"/>
      <c r="HC119" s="72"/>
      <c r="HD119" s="72"/>
      <c r="HE119" s="72"/>
      <c r="HF119" s="72"/>
      <c r="HG119" s="72"/>
      <c r="HH119" s="72"/>
      <c r="HI119" s="72"/>
      <c r="HJ119" s="72"/>
      <c r="HK119" s="72"/>
      <c r="HL119" s="72"/>
      <c r="HM119" s="72"/>
    </row>
    <row r="120" spans="1:221" outlineLevel="1">
      <c r="A120" s="49" t="s">
        <v>344</v>
      </c>
      <c r="B120" s="50" t="s">
        <v>503</v>
      </c>
      <c r="C120" s="51" t="s">
        <v>146</v>
      </c>
      <c r="D120" s="51" t="s">
        <v>563</v>
      </c>
      <c r="E120" s="52">
        <v>46258</v>
      </c>
      <c r="F120" s="52">
        <v>46264</v>
      </c>
      <c r="G120" s="53">
        <f>IF(OR($H120="삭제",$H120="작업대기",$H120="보류"),0,IF($H120="완료",1,IFERROR(MIN(0.99,MAX(0,($F$3-$E120)/($F120-$E120))),0)))</f>
        <v>0</v>
      </c>
      <c r="H120" s="51" t="s">
        <v>369</v>
      </c>
      <c r="I120" s="50" t="str">
        <f ca="1">IF(AND($F120&lt;&gt;"",$F120&lt;$F$3,$H120&lt;&gt;"완료",$H120&lt;&gt;"삭제",$H120&lt;&gt;"보류",$H120&lt;&gt;""),"⚠ 마감 초과",IF(AND($F120&lt;&gt;"",$F120&gt;$F$3,$H120="완료"),"⚡ 미래 날짜 완료 이상",""))</f>
        <v/>
      </c>
      <c r="J120" s="50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72"/>
      <c r="GP120" s="72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  <c r="HJ120" s="72"/>
      <c r="HK120" s="72"/>
      <c r="HL120" s="72"/>
      <c r="HM120" s="72"/>
    </row>
    <row r="121" spans="1:221" outlineLevel="1">
      <c r="A121" s="49" t="s">
        <v>345</v>
      </c>
      <c r="B121" s="50" t="s">
        <v>504</v>
      </c>
      <c r="C121" s="51" t="s">
        <v>146</v>
      </c>
      <c r="D121" s="51" t="s">
        <v>563</v>
      </c>
      <c r="E121" s="52">
        <v>46258</v>
      </c>
      <c r="F121" s="52">
        <v>46264</v>
      </c>
      <c r="G121" s="53">
        <f>IF(OR($H121="삭제",$H121="작업대기",$H121="보류"),0,IF($H121="완료",1,IFERROR(MIN(0.99,MAX(0,($F$3-$E121)/($F121-$E121))),0)))</f>
        <v>1</v>
      </c>
      <c r="H121" s="51" t="s">
        <v>78</v>
      </c>
      <c r="I121" s="50" t="str">
        <f ca="1">IF(AND($F121&lt;&gt;"",$F121&lt;$F$3,$H121&lt;&gt;"완료",$H121&lt;&gt;"삭제",$H121&lt;&gt;"보류",$H121&lt;&gt;""),"⚠ 마감 초과",IF(AND($F121&lt;&gt;"",$F121&gt;$F$3,$H121="완료"),"⚡ 미래 날짜 완료 이상",""))</f>
        <v/>
      </c>
      <c r="J121" s="50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72"/>
      <c r="EJ121" s="72"/>
      <c r="EK121" s="72"/>
      <c r="EL121" s="72"/>
      <c r="EM121" s="72"/>
      <c r="EN121" s="72"/>
      <c r="EO121" s="72"/>
      <c r="EP121" s="72"/>
      <c r="EQ121" s="72"/>
      <c r="ER121" s="72"/>
      <c r="ES121" s="72"/>
      <c r="ET121" s="72"/>
      <c r="EU121" s="72"/>
      <c r="EV121" s="72"/>
      <c r="EW121" s="72"/>
      <c r="EX121" s="72"/>
      <c r="EY121" s="72"/>
      <c r="EZ121" s="72"/>
      <c r="FA121" s="72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72"/>
      <c r="FM121" s="72"/>
      <c r="FN121" s="72"/>
      <c r="FO121" s="72"/>
      <c r="FP121" s="72"/>
      <c r="FQ121" s="72"/>
      <c r="FR121" s="72"/>
      <c r="FS121" s="72"/>
      <c r="FT121" s="72"/>
      <c r="FU121" s="72"/>
      <c r="FV121" s="72"/>
      <c r="FW121" s="72"/>
      <c r="FX121" s="72"/>
      <c r="FY121" s="72"/>
      <c r="FZ121" s="72"/>
      <c r="GA121" s="72"/>
      <c r="GB121" s="72"/>
      <c r="GC121" s="72"/>
      <c r="GD121" s="72"/>
      <c r="GE121" s="72"/>
      <c r="GF121" s="72"/>
      <c r="GG121" s="72"/>
      <c r="GH121" s="72"/>
      <c r="GI121" s="72"/>
      <c r="GJ121" s="72"/>
      <c r="GK121" s="72"/>
      <c r="GL121" s="72"/>
      <c r="GM121" s="72"/>
      <c r="GN121" s="72"/>
      <c r="GO121" s="72"/>
      <c r="GP121" s="72"/>
      <c r="GQ121" s="72"/>
      <c r="GR121" s="72"/>
      <c r="GS121" s="72"/>
      <c r="GT121" s="72"/>
      <c r="GU121" s="72"/>
      <c r="GV121" s="72"/>
      <c r="GW121" s="72"/>
      <c r="GX121" s="72"/>
      <c r="GY121" s="72"/>
      <c r="GZ121" s="72"/>
      <c r="HA121" s="72"/>
      <c r="HB121" s="72"/>
      <c r="HC121" s="72"/>
      <c r="HD121" s="72"/>
      <c r="HE121" s="72"/>
      <c r="HF121" s="72"/>
      <c r="HG121" s="72"/>
      <c r="HH121" s="72"/>
      <c r="HI121" s="72"/>
      <c r="HJ121" s="72"/>
      <c r="HK121" s="72"/>
      <c r="HL121" s="72"/>
      <c r="HM121" s="72"/>
    </row>
    <row r="122" spans="1:221" outlineLevel="1">
      <c r="A122" s="49" t="s">
        <v>346</v>
      </c>
      <c r="B122" s="50" t="s">
        <v>505</v>
      </c>
      <c r="C122" s="51" t="s">
        <v>146</v>
      </c>
      <c r="D122" s="51" t="s">
        <v>563</v>
      </c>
      <c r="E122" s="52">
        <v>46258</v>
      </c>
      <c r="F122" s="52">
        <v>46264</v>
      </c>
      <c r="G122" s="53">
        <f>IF(OR($H122="삭제",$H122="작업대기",$H122="보류"),0,IF($H122="완료",1,IFERROR(MIN(0.99,MAX(0,($F$3-$E122)/($F122-$E122))),0)))</f>
        <v>1</v>
      </c>
      <c r="H122" s="51" t="s">
        <v>78</v>
      </c>
      <c r="I122" s="50" t="str">
        <f ca="1">IF(AND($F122&lt;&gt;"",$F122&lt;$F$3,$H122&lt;&gt;"완료",$H122&lt;&gt;"삭제",$H122&lt;&gt;"보류",$H122&lt;&gt;""),"⚠ 마감 초과",IF(AND($F122&lt;&gt;"",$F122&gt;$F$3,$H122="완료"),"⚡ 미래 날짜 완료 이상",""))</f>
        <v/>
      </c>
      <c r="J122" s="50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72"/>
      <c r="GP122" s="72"/>
      <c r="GQ122" s="72"/>
      <c r="GR122" s="72"/>
      <c r="GS122" s="72"/>
      <c r="GT122" s="72"/>
      <c r="GU122" s="72"/>
      <c r="GV122" s="72"/>
      <c r="GW122" s="72"/>
      <c r="GX122" s="72"/>
      <c r="GY122" s="72"/>
      <c r="GZ122" s="72"/>
      <c r="HA122" s="72"/>
      <c r="HB122" s="72"/>
      <c r="HC122" s="72"/>
      <c r="HD122" s="72"/>
      <c r="HE122" s="72"/>
      <c r="HF122" s="72"/>
      <c r="HG122" s="72"/>
      <c r="HH122" s="72"/>
      <c r="HI122" s="72"/>
      <c r="HJ122" s="72"/>
      <c r="HK122" s="72"/>
      <c r="HL122" s="72"/>
      <c r="HM122" s="72"/>
    </row>
    <row r="123" spans="1:221">
      <c r="A123" s="64" t="s">
        <v>549</v>
      </c>
      <c r="B123" s="65" t="s">
        <v>506</v>
      </c>
      <c r="C123" s="66"/>
      <c r="D123" s="66"/>
      <c r="E123" s="67">
        <f>IFERROR(IF(COUNT($E124:$E126)=0,"",_xlfn.MINIFS($E124:$E126,$C124:$C126,"&lt;&gt;",$H124:$H126,"&lt;&gt;삭제")),"")</f>
        <v>46263</v>
      </c>
      <c r="F123" s="67">
        <f>IFERROR(IF(COUNT($F124:$F126)=0,"",_xlfn.MAXIFS($F124:$F126,$C124:$C126,"&lt;&gt;",$H124:$H126,"&lt;&gt;삭제")),"")</f>
        <v>46270</v>
      </c>
      <c r="G123" s="68">
        <f>IFERROR(AVERAGEIFS(G124:G126,$C124:$C126,"&lt;&gt;",$H124:$H126,"&lt;&gt;삭제"),0)</f>
        <v>0.66666666666666663</v>
      </c>
      <c r="H123" s="66" t="str">
        <f>IF($G123&gt;=1,"완료",IF($G123&gt;0,"진행중","작업대기"))</f>
        <v>진행중</v>
      </c>
      <c r="I123" s="65"/>
      <c r="J123" s="65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72"/>
      <c r="EJ123" s="72"/>
      <c r="EK123" s="72"/>
      <c r="EL123" s="72"/>
      <c r="EM123" s="72"/>
      <c r="EN123" s="72"/>
      <c r="EO123" s="72"/>
      <c r="EP123" s="72"/>
      <c r="EQ123" s="72"/>
      <c r="ER123" s="72"/>
      <c r="ES123" s="72"/>
      <c r="ET123" s="72"/>
      <c r="EU123" s="72"/>
      <c r="EV123" s="72"/>
      <c r="EW123" s="72"/>
      <c r="EX123" s="72"/>
      <c r="EY123" s="72"/>
      <c r="EZ123" s="72"/>
      <c r="FA123" s="72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72"/>
      <c r="FM123" s="72"/>
      <c r="FN123" s="72"/>
      <c r="FO123" s="72"/>
      <c r="FP123" s="72"/>
      <c r="FQ123" s="72"/>
      <c r="FR123" s="72"/>
      <c r="FS123" s="72"/>
      <c r="FT123" s="72"/>
      <c r="FU123" s="72"/>
      <c r="FV123" s="72"/>
      <c r="FW123" s="72"/>
      <c r="FX123" s="72"/>
      <c r="FY123" s="72"/>
      <c r="FZ123" s="72"/>
      <c r="GA123" s="72"/>
      <c r="GB123" s="72"/>
      <c r="GC123" s="72"/>
      <c r="GD123" s="72"/>
      <c r="GE123" s="72"/>
      <c r="GF123" s="72"/>
      <c r="GG123" s="72"/>
      <c r="GH123" s="72"/>
      <c r="GI123" s="72"/>
      <c r="GJ123" s="72"/>
      <c r="GK123" s="72"/>
      <c r="GL123" s="72"/>
      <c r="GM123" s="72"/>
      <c r="GN123" s="72"/>
      <c r="GO123" s="72"/>
      <c r="GP123" s="72"/>
      <c r="GQ123" s="72"/>
      <c r="GR123" s="72"/>
      <c r="GS123" s="72"/>
      <c r="GT123" s="72"/>
      <c r="GU123" s="72"/>
      <c r="GV123" s="72"/>
      <c r="GW123" s="72"/>
      <c r="GX123" s="72"/>
      <c r="GY123" s="72"/>
      <c r="GZ123" s="72"/>
      <c r="HA123" s="72"/>
      <c r="HB123" s="72"/>
      <c r="HC123" s="72"/>
      <c r="HD123" s="72"/>
      <c r="HE123" s="72"/>
      <c r="HF123" s="72"/>
      <c r="HG123" s="72"/>
      <c r="HH123" s="72"/>
      <c r="HI123" s="72"/>
      <c r="HJ123" s="72"/>
      <c r="HK123" s="72"/>
      <c r="HL123" s="72"/>
      <c r="HM123" s="72"/>
    </row>
    <row r="124" spans="1:221" outlineLevel="1">
      <c r="A124" s="49" t="s">
        <v>347</v>
      </c>
      <c r="B124" s="50" t="s">
        <v>507</v>
      </c>
      <c r="C124" s="51" t="s">
        <v>146</v>
      </c>
      <c r="D124" s="51" t="s">
        <v>563</v>
      </c>
      <c r="E124" s="52">
        <v>46263</v>
      </c>
      <c r="F124" s="52">
        <v>46270</v>
      </c>
      <c r="G124" s="53">
        <f>IF(OR($H124="삭제",$H124="작업대기",$H124="보류"),0,IF($H124="완료",1,IFERROR(MIN(0.99,MAX(0,($F$3-$E124)/($F124-$E124))),0)))</f>
        <v>1</v>
      </c>
      <c r="H124" s="51" t="s">
        <v>78</v>
      </c>
      <c r="I124" s="50" t="str">
        <f ca="1">IF(AND($F124&lt;&gt;"",$F124&lt;$F$3,$H124&lt;&gt;"완료",$H124&lt;&gt;"삭제",$H124&lt;&gt;"보류",$H124&lt;&gt;""),"⚠ 마감 초과",IF(AND($F124&lt;&gt;"",$F124&gt;$F$3,$H124="완료"),"⚡ 미래 날짜 완료 이상",""))</f>
        <v/>
      </c>
      <c r="J124" s="50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72"/>
      <c r="EJ124" s="72"/>
      <c r="EK124" s="72"/>
      <c r="EL124" s="72"/>
      <c r="EM124" s="72"/>
      <c r="EN124" s="72"/>
      <c r="EO124" s="72"/>
      <c r="EP124" s="72"/>
      <c r="EQ124" s="72"/>
      <c r="ER124" s="72"/>
      <c r="ES124" s="72"/>
      <c r="ET124" s="72"/>
      <c r="EU124" s="72"/>
      <c r="EV124" s="72"/>
      <c r="EW124" s="72"/>
      <c r="EX124" s="72"/>
      <c r="EY124" s="72"/>
      <c r="EZ124" s="72"/>
      <c r="FA124" s="72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72"/>
      <c r="FM124" s="72"/>
      <c r="FN124" s="72"/>
      <c r="FO124" s="72"/>
      <c r="FP124" s="72"/>
      <c r="FQ124" s="72"/>
      <c r="FR124" s="72"/>
      <c r="FS124" s="72"/>
      <c r="FT124" s="72"/>
      <c r="FU124" s="72"/>
      <c r="FV124" s="72"/>
      <c r="FW124" s="72"/>
      <c r="FX124" s="72"/>
      <c r="FY124" s="72"/>
      <c r="FZ124" s="72"/>
      <c r="GA124" s="72"/>
      <c r="GB124" s="72"/>
      <c r="GC124" s="72"/>
      <c r="GD124" s="72"/>
      <c r="GE124" s="72"/>
      <c r="GF124" s="72"/>
      <c r="GG124" s="72"/>
      <c r="GH124" s="72"/>
      <c r="GI124" s="72"/>
      <c r="GJ124" s="72"/>
      <c r="GK124" s="72"/>
      <c r="GL124" s="72"/>
      <c r="GM124" s="72"/>
      <c r="GN124" s="72"/>
      <c r="GO124" s="72"/>
      <c r="GP124" s="72"/>
      <c r="GQ124" s="72"/>
      <c r="GR124" s="72"/>
      <c r="GS124" s="72"/>
      <c r="GT124" s="72"/>
      <c r="GU124" s="72"/>
      <c r="GV124" s="72"/>
      <c r="GW124" s="72"/>
      <c r="GX124" s="72"/>
      <c r="GY124" s="72"/>
      <c r="GZ124" s="72"/>
      <c r="HA124" s="72"/>
      <c r="HB124" s="72"/>
      <c r="HC124" s="72"/>
      <c r="HD124" s="72"/>
      <c r="HE124" s="72"/>
      <c r="HF124" s="72"/>
      <c r="HG124" s="72"/>
      <c r="HH124" s="72"/>
      <c r="HI124" s="72"/>
      <c r="HJ124" s="72"/>
      <c r="HK124" s="72"/>
      <c r="HL124" s="72"/>
      <c r="HM124" s="72"/>
    </row>
    <row r="125" spans="1:221" outlineLevel="1">
      <c r="A125" s="49" t="s">
        <v>348</v>
      </c>
      <c r="B125" s="50" t="s">
        <v>508</v>
      </c>
      <c r="C125" s="51" t="s">
        <v>146</v>
      </c>
      <c r="D125" s="51" t="s">
        <v>563</v>
      </c>
      <c r="E125" s="52">
        <v>46263</v>
      </c>
      <c r="F125" s="52">
        <v>46270</v>
      </c>
      <c r="G125" s="53">
        <f>IF(OR($H125="삭제",$H125="작업대기",$H125="보류"),0,IF($H125="완료",1,IFERROR(MIN(0.99,MAX(0,($F$3-$E125)/($F125-$E125))),0)))</f>
        <v>1</v>
      </c>
      <c r="H125" s="51" t="s">
        <v>78</v>
      </c>
      <c r="I125" s="50" t="str">
        <f ca="1">IF(AND($F125&lt;&gt;"",$F125&lt;$F$3,$H125&lt;&gt;"완료",$H125&lt;&gt;"삭제",$H125&lt;&gt;"보류",$H125&lt;&gt;""),"⚠ 마감 초과",IF(AND($F125&lt;&gt;"",$F125&gt;$F$3,$H125="완료"),"⚡ 미래 날짜 완료 이상",""))</f>
        <v/>
      </c>
      <c r="J125" s="50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72"/>
      <c r="FM125" s="72"/>
      <c r="FN125" s="72"/>
      <c r="FO125" s="72"/>
      <c r="FP125" s="72"/>
      <c r="FQ125" s="72"/>
      <c r="FR125" s="72"/>
      <c r="FS125" s="72"/>
      <c r="FT125" s="72"/>
      <c r="FU125" s="72"/>
      <c r="FV125" s="72"/>
      <c r="FW125" s="72"/>
      <c r="FX125" s="72"/>
      <c r="FY125" s="72"/>
      <c r="FZ125" s="72"/>
      <c r="GA125" s="72"/>
      <c r="GB125" s="72"/>
      <c r="GC125" s="72"/>
      <c r="GD125" s="72"/>
      <c r="GE125" s="72"/>
      <c r="GF125" s="72"/>
      <c r="GG125" s="72"/>
      <c r="GH125" s="72"/>
      <c r="GI125" s="72"/>
      <c r="GJ125" s="72"/>
      <c r="GK125" s="72"/>
      <c r="GL125" s="72"/>
      <c r="GM125" s="72"/>
      <c r="GN125" s="72"/>
      <c r="GO125" s="72"/>
      <c r="GP125" s="72"/>
      <c r="GQ125" s="72"/>
      <c r="GR125" s="72"/>
      <c r="GS125" s="72"/>
      <c r="GT125" s="72"/>
      <c r="GU125" s="72"/>
      <c r="GV125" s="72"/>
      <c r="GW125" s="72"/>
      <c r="GX125" s="72"/>
      <c r="GY125" s="72"/>
      <c r="GZ125" s="72"/>
      <c r="HA125" s="72"/>
      <c r="HB125" s="72"/>
      <c r="HC125" s="72"/>
      <c r="HD125" s="72"/>
      <c r="HE125" s="72"/>
      <c r="HF125" s="72"/>
      <c r="HG125" s="72"/>
      <c r="HH125" s="72"/>
      <c r="HI125" s="72"/>
      <c r="HJ125" s="72"/>
      <c r="HK125" s="72"/>
      <c r="HL125" s="72"/>
      <c r="HM125" s="72"/>
    </row>
    <row r="126" spans="1:221" outlineLevel="1">
      <c r="A126" s="49" t="s">
        <v>349</v>
      </c>
      <c r="B126" s="50" t="s">
        <v>509</v>
      </c>
      <c r="C126" s="51" t="s">
        <v>146</v>
      </c>
      <c r="D126" s="51" t="s">
        <v>563</v>
      </c>
      <c r="E126" s="50"/>
      <c r="F126" s="50"/>
      <c r="G126" s="53">
        <f>IF(OR($H126="삭제",$H126="작업대기",$H126="보류"),0,IF($H126="완료",1,IFERROR(MIN(0.99,MAX(0,($F$3-$E126)/($F126-$E126))),0)))</f>
        <v>0</v>
      </c>
      <c r="H126" s="51" t="s">
        <v>264</v>
      </c>
      <c r="I126" s="50" t="str">
        <f ca="1">IF(AND($F126&lt;&gt;"",$F126&lt;$F$3,$H126&lt;&gt;"완료",$H126&lt;&gt;"삭제",$H126&lt;&gt;"보류",$H126&lt;&gt;""),"⚠ 마감 초과",IF(AND($F126&lt;&gt;"",$F126&gt;$F$3,$H126="완료"),"⚡ 미래 날짜 완료 이상",""))</f>
        <v/>
      </c>
      <c r="J126" s="50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72"/>
      <c r="EJ126" s="72"/>
      <c r="EK126" s="72"/>
      <c r="EL126" s="72"/>
      <c r="EM126" s="72"/>
      <c r="EN126" s="72"/>
      <c r="EO126" s="72"/>
      <c r="EP126" s="72"/>
      <c r="EQ126" s="72"/>
      <c r="ER126" s="72"/>
      <c r="ES126" s="72"/>
      <c r="ET126" s="72"/>
      <c r="EU126" s="72"/>
      <c r="EV126" s="72"/>
      <c r="EW126" s="72"/>
      <c r="EX126" s="72"/>
      <c r="EY126" s="72"/>
      <c r="EZ126" s="72"/>
      <c r="FA126" s="72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72"/>
      <c r="FM126" s="72"/>
      <c r="FN126" s="72"/>
      <c r="FO126" s="72"/>
      <c r="FP126" s="72"/>
      <c r="FQ126" s="72"/>
      <c r="FR126" s="72"/>
      <c r="FS126" s="72"/>
      <c r="FT126" s="72"/>
      <c r="FU126" s="72"/>
      <c r="FV126" s="72"/>
      <c r="FW126" s="72"/>
      <c r="FX126" s="72"/>
      <c r="FY126" s="72"/>
      <c r="FZ126" s="72"/>
      <c r="GA126" s="72"/>
      <c r="GB126" s="72"/>
      <c r="GC126" s="72"/>
      <c r="GD126" s="72"/>
      <c r="GE126" s="72"/>
      <c r="GF126" s="72"/>
      <c r="GG126" s="72"/>
      <c r="GH126" s="72"/>
      <c r="GI126" s="72"/>
      <c r="GJ126" s="72"/>
      <c r="GK126" s="72"/>
      <c r="GL126" s="72"/>
      <c r="GM126" s="72"/>
      <c r="GN126" s="72"/>
      <c r="GO126" s="72"/>
      <c r="GP126" s="72"/>
      <c r="GQ126" s="72"/>
      <c r="GR126" s="72"/>
      <c r="GS126" s="72"/>
      <c r="GT126" s="72"/>
      <c r="GU126" s="72"/>
      <c r="GV126" s="72"/>
      <c r="GW126" s="72"/>
      <c r="GX126" s="72"/>
      <c r="GY126" s="72"/>
      <c r="GZ126" s="72"/>
      <c r="HA126" s="72"/>
      <c r="HB126" s="72"/>
      <c r="HC126" s="72"/>
      <c r="HD126" s="72"/>
      <c r="HE126" s="72"/>
      <c r="HF126" s="72"/>
      <c r="HG126" s="72"/>
      <c r="HH126" s="72"/>
      <c r="HI126" s="72"/>
      <c r="HJ126" s="72"/>
      <c r="HK126" s="72"/>
      <c r="HL126" s="72"/>
      <c r="HM126" s="72"/>
    </row>
    <row r="127" spans="1:221">
      <c r="A127" s="64" t="s">
        <v>550</v>
      </c>
      <c r="B127" s="65" t="s">
        <v>510</v>
      </c>
      <c r="C127" s="66"/>
      <c r="D127" s="66"/>
      <c r="E127" s="67">
        <f>IFERROR(IF(COUNT($E128:$E129)=0,"",_xlfn.MINIFS($E128:$E129,$C128:$C129,"&lt;&gt;",$H128:$H129,"&lt;&gt;삭제")),"")</f>
        <v>46279</v>
      </c>
      <c r="F127" s="67">
        <f>IFERROR(IF(COUNT($F128:$F129)=0,"",_xlfn.MAXIFS($F128:$F129,$C128:$C129,"&lt;&gt;",$H128:$H129,"&lt;&gt;삭제")),"")</f>
        <v>46283</v>
      </c>
      <c r="G127" s="68">
        <f>IFERROR(AVERAGEIFS(G128:G129,$C128:$C129,"&lt;&gt;",$H128:$H129,"&lt;&gt;삭제"),0)</f>
        <v>0</v>
      </c>
      <c r="H127" s="66" t="str">
        <f>IF($G127&gt;=1,"완료",IF($G127&gt;0,"진행중","작업대기"))</f>
        <v>작업대기</v>
      </c>
      <c r="I127" s="65"/>
      <c r="J127" s="65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72"/>
      <c r="EJ127" s="72"/>
      <c r="EK127" s="72"/>
      <c r="EL127" s="72"/>
      <c r="EM127" s="72"/>
      <c r="EN127" s="72"/>
      <c r="EO127" s="72"/>
      <c r="EP127" s="72"/>
      <c r="EQ127" s="72"/>
      <c r="ER127" s="72"/>
      <c r="ES127" s="72"/>
      <c r="ET127" s="72"/>
      <c r="EU127" s="72"/>
      <c r="EV127" s="72"/>
      <c r="EW127" s="72"/>
      <c r="EX127" s="72"/>
      <c r="EY127" s="72"/>
      <c r="EZ127" s="72"/>
      <c r="FA127" s="72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72"/>
      <c r="FM127" s="72"/>
      <c r="FN127" s="72"/>
      <c r="FO127" s="72"/>
      <c r="FP127" s="72"/>
      <c r="FQ127" s="72"/>
      <c r="FR127" s="72"/>
      <c r="FS127" s="72"/>
      <c r="FT127" s="72"/>
      <c r="FU127" s="72"/>
      <c r="FV127" s="72"/>
      <c r="FW127" s="72"/>
      <c r="FX127" s="72"/>
      <c r="FY127" s="72"/>
      <c r="FZ127" s="72"/>
      <c r="GA127" s="72"/>
      <c r="GB127" s="72"/>
      <c r="GC127" s="72"/>
      <c r="GD127" s="72"/>
      <c r="GE127" s="72"/>
      <c r="GF127" s="72"/>
      <c r="GG127" s="72"/>
      <c r="GH127" s="72"/>
      <c r="GI127" s="72"/>
      <c r="GJ127" s="72"/>
      <c r="GK127" s="72"/>
      <c r="GL127" s="72"/>
      <c r="GM127" s="72"/>
      <c r="GN127" s="72"/>
      <c r="GO127" s="72"/>
      <c r="GP127" s="72"/>
      <c r="GQ127" s="72"/>
      <c r="GR127" s="72"/>
      <c r="GS127" s="72"/>
      <c r="GT127" s="72"/>
      <c r="GU127" s="72"/>
      <c r="GV127" s="72"/>
      <c r="GW127" s="72"/>
      <c r="GX127" s="72"/>
      <c r="GY127" s="72"/>
      <c r="GZ127" s="72"/>
      <c r="HA127" s="72"/>
      <c r="HB127" s="72"/>
      <c r="HC127" s="72"/>
      <c r="HD127" s="72"/>
      <c r="HE127" s="72"/>
      <c r="HF127" s="72"/>
      <c r="HG127" s="72"/>
      <c r="HH127" s="72"/>
      <c r="HI127" s="72"/>
      <c r="HJ127" s="72"/>
      <c r="HK127" s="72"/>
      <c r="HL127" s="72"/>
      <c r="HM127" s="72"/>
    </row>
    <row r="128" spans="1:221" outlineLevel="1">
      <c r="A128" s="49" t="s">
        <v>350</v>
      </c>
      <c r="B128" s="50" t="s">
        <v>511</v>
      </c>
      <c r="C128" s="51" t="s">
        <v>146</v>
      </c>
      <c r="D128" s="51" t="s">
        <v>563</v>
      </c>
      <c r="E128" s="52">
        <v>46279</v>
      </c>
      <c r="F128" s="52">
        <v>46283</v>
      </c>
      <c r="G128" s="53">
        <f>IF(OR($H128="삭제",$H128="작업대기",$H128="보류"),0,IF($H128="완료",1,IFERROR(MIN(0.99,MAX(0,($F$3-$E128)/($F128-$E128))),0)))</f>
        <v>0</v>
      </c>
      <c r="H128" s="51" t="s">
        <v>106</v>
      </c>
      <c r="I128" s="50" t="str">
        <f ca="1">IF(AND($F128&lt;&gt;"",$F128&lt;$F$3,$H128&lt;&gt;"완료",$H128&lt;&gt;"삭제",$H128&lt;&gt;"보류",$H128&lt;&gt;""),"⚠ 마감 초과",IF(AND($F128&lt;&gt;"",$F128&gt;$F$3,$H128="완료"),"⚡ 미래 날짜 완료 이상",""))</f>
        <v/>
      </c>
      <c r="J128" s="50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72"/>
      <c r="EJ128" s="72"/>
      <c r="EK128" s="72"/>
      <c r="EL128" s="72"/>
      <c r="EM128" s="72"/>
      <c r="EN128" s="72"/>
      <c r="EO128" s="72"/>
      <c r="EP128" s="72"/>
      <c r="EQ128" s="72"/>
      <c r="ER128" s="72"/>
      <c r="ES128" s="72"/>
      <c r="ET128" s="72"/>
      <c r="EU128" s="72"/>
      <c r="EV128" s="72"/>
      <c r="EW128" s="72"/>
      <c r="EX128" s="72"/>
      <c r="EY128" s="72"/>
      <c r="EZ128" s="72"/>
      <c r="FA128" s="72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72"/>
      <c r="FM128" s="72"/>
      <c r="FN128" s="72"/>
      <c r="FO128" s="72"/>
      <c r="FP128" s="72"/>
      <c r="FQ128" s="72"/>
      <c r="FR128" s="72"/>
      <c r="FS128" s="72"/>
      <c r="FT128" s="72"/>
      <c r="FU128" s="72"/>
      <c r="FV128" s="72"/>
      <c r="FW128" s="72"/>
      <c r="FX128" s="72"/>
      <c r="FY128" s="72"/>
      <c r="FZ128" s="72"/>
      <c r="GA128" s="72"/>
      <c r="GB128" s="72"/>
      <c r="GC128" s="72"/>
      <c r="GD128" s="72"/>
      <c r="GE128" s="72"/>
      <c r="GF128" s="72"/>
      <c r="GG128" s="72"/>
      <c r="GH128" s="72"/>
      <c r="GI128" s="72"/>
      <c r="GJ128" s="72"/>
      <c r="GK128" s="72"/>
      <c r="GL128" s="72"/>
      <c r="GM128" s="72"/>
      <c r="GN128" s="72"/>
      <c r="GO128" s="72"/>
      <c r="GP128" s="72"/>
      <c r="GQ128" s="72"/>
      <c r="GR128" s="72"/>
      <c r="GS128" s="72"/>
      <c r="GT128" s="72"/>
      <c r="GU128" s="72"/>
      <c r="GV128" s="72"/>
      <c r="GW128" s="72"/>
      <c r="GX128" s="72"/>
      <c r="GY128" s="72"/>
      <c r="GZ128" s="72"/>
      <c r="HA128" s="72"/>
      <c r="HB128" s="72"/>
      <c r="HC128" s="72"/>
      <c r="HD128" s="72"/>
      <c r="HE128" s="72"/>
      <c r="HF128" s="72"/>
      <c r="HG128" s="72"/>
      <c r="HH128" s="72"/>
      <c r="HI128" s="72"/>
      <c r="HJ128" s="72"/>
      <c r="HK128" s="72"/>
      <c r="HL128" s="72"/>
      <c r="HM128" s="72"/>
    </row>
    <row r="129" spans="1:221" outlineLevel="1">
      <c r="A129" s="49" t="s">
        <v>351</v>
      </c>
      <c r="B129" s="50" t="s">
        <v>512</v>
      </c>
      <c r="C129" s="51" t="s">
        <v>146</v>
      </c>
      <c r="D129" s="51" t="s">
        <v>563</v>
      </c>
      <c r="E129" s="52">
        <v>46279</v>
      </c>
      <c r="F129" s="52">
        <v>46283</v>
      </c>
      <c r="G129" s="53">
        <f>IF(OR($H129="삭제",$H129="작업대기",$H129="보류"),0,IF($H129="완료",1,IFERROR(MIN(0.99,MAX(0,($F$3-$E129)/($F129-$E129))),0)))</f>
        <v>0</v>
      </c>
      <c r="H129" s="51" t="s">
        <v>106</v>
      </c>
      <c r="I129" s="50" t="str">
        <f ca="1">IF(AND($F129&lt;&gt;"",$F129&lt;$F$3,$H129&lt;&gt;"완료",$H129&lt;&gt;"삭제",$H129&lt;&gt;"보류",$H129&lt;&gt;""),"⚠ 마감 초과",IF(AND($F129&lt;&gt;"",$F129&gt;$F$3,$H129="완료"),"⚡ 미래 날짜 완료 이상",""))</f>
        <v/>
      </c>
      <c r="J129" s="50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72"/>
      <c r="EJ129" s="72"/>
      <c r="EK129" s="72"/>
      <c r="EL129" s="72"/>
      <c r="EM129" s="72"/>
      <c r="EN129" s="72"/>
      <c r="EO129" s="72"/>
      <c r="EP129" s="72"/>
      <c r="EQ129" s="72"/>
      <c r="ER129" s="72"/>
      <c r="ES129" s="72"/>
      <c r="ET129" s="72"/>
      <c r="EU129" s="72"/>
      <c r="EV129" s="72"/>
      <c r="EW129" s="72"/>
      <c r="EX129" s="72"/>
      <c r="EY129" s="72"/>
      <c r="EZ129" s="72"/>
      <c r="FA129" s="72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72"/>
      <c r="FM129" s="72"/>
      <c r="FN129" s="72"/>
      <c r="FO129" s="72"/>
      <c r="FP129" s="72"/>
      <c r="FQ129" s="72"/>
      <c r="FR129" s="72"/>
      <c r="FS129" s="72"/>
      <c r="FT129" s="72"/>
      <c r="FU129" s="72"/>
      <c r="FV129" s="72"/>
      <c r="FW129" s="72"/>
      <c r="FX129" s="72"/>
      <c r="FY129" s="72"/>
      <c r="FZ129" s="72"/>
      <c r="GA129" s="72"/>
      <c r="GB129" s="72"/>
      <c r="GC129" s="72"/>
      <c r="GD129" s="72"/>
      <c r="GE129" s="72"/>
      <c r="GF129" s="72"/>
      <c r="GG129" s="72"/>
      <c r="GH129" s="72"/>
      <c r="GI129" s="72"/>
      <c r="GJ129" s="72"/>
      <c r="GK129" s="72"/>
      <c r="GL129" s="72"/>
      <c r="GM129" s="72"/>
      <c r="GN129" s="72"/>
      <c r="GO129" s="72"/>
      <c r="GP129" s="72"/>
      <c r="GQ129" s="72"/>
      <c r="GR129" s="72"/>
      <c r="GS129" s="72"/>
      <c r="GT129" s="72"/>
      <c r="GU129" s="72"/>
      <c r="GV129" s="72"/>
      <c r="GW129" s="72"/>
      <c r="GX129" s="72"/>
      <c r="GY129" s="72"/>
      <c r="GZ129" s="72"/>
      <c r="HA129" s="72"/>
      <c r="HB129" s="72"/>
      <c r="HC129" s="72"/>
      <c r="HD129" s="72"/>
      <c r="HE129" s="72"/>
      <c r="HF129" s="72"/>
      <c r="HG129" s="72"/>
      <c r="HH129" s="72"/>
      <c r="HI129" s="72"/>
      <c r="HJ129" s="72"/>
      <c r="HK129" s="72"/>
      <c r="HL129" s="72"/>
      <c r="HM129" s="72"/>
    </row>
    <row r="130" spans="1:221">
      <c r="A130" s="59" t="s">
        <v>551</v>
      </c>
      <c r="B130" s="60" t="s">
        <v>176</v>
      </c>
      <c r="C130" s="61"/>
      <c r="D130" s="61"/>
      <c r="E130" s="62"/>
      <c r="F130" s="62"/>
      <c r="G130" s="63">
        <f>IFERROR(AVERAGEIFS(G131:G136,$C131:$C136,"&lt;&gt;",$H131:$H136,"&lt;&gt;삭제"),0)</f>
        <v>0</v>
      </c>
      <c r="H130" s="61" t="str">
        <f>IF($G130&gt;=1,"완료",IF($G130&gt;0,"진행중","작업대기"))</f>
        <v>작업대기</v>
      </c>
      <c r="I130" s="60"/>
      <c r="J130" s="60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72"/>
      <c r="EJ130" s="72"/>
      <c r="EK130" s="72"/>
      <c r="EL130" s="72"/>
      <c r="EM130" s="72"/>
      <c r="EN130" s="72"/>
      <c r="EO130" s="72"/>
      <c r="EP130" s="72"/>
      <c r="EQ130" s="72"/>
      <c r="ER130" s="72"/>
      <c r="ES130" s="72"/>
      <c r="ET130" s="72"/>
      <c r="EU130" s="72"/>
      <c r="EV130" s="72"/>
      <c r="EW130" s="72"/>
      <c r="EX130" s="72"/>
      <c r="EY130" s="72"/>
      <c r="EZ130" s="72"/>
      <c r="FA130" s="72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72"/>
      <c r="FM130" s="72"/>
      <c r="FN130" s="72"/>
      <c r="FO130" s="72"/>
      <c r="FP130" s="72"/>
      <c r="FQ130" s="72"/>
      <c r="FR130" s="72"/>
      <c r="FS130" s="72"/>
      <c r="FT130" s="72"/>
      <c r="FU130" s="72"/>
      <c r="FV130" s="72"/>
      <c r="FW130" s="72"/>
      <c r="FX130" s="72"/>
      <c r="FY130" s="72"/>
      <c r="FZ130" s="72"/>
      <c r="GA130" s="72"/>
      <c r="GB130" s="72"/>
      <c r="GC130" s="72"/>
      <c r="GD130" s="72"/>
      <c r="GE130" s="72"/>
      <c r="GF130" s="72"/>
      <c r="GG130" s="72"/>
      <c r="GH130" s="72"/>
      <c r="GI130" s="72"/>
      <c r="GJ130" s="72"/>
      <c r="GK130" s="72"/>
      <c r="GL130" s="72"/>
      <c r="GM130" s="72"/>
      <c r="GN130" s="72"/>
      <c r="GO130" s="72"/>
      <c r="GP130" s="72"/>
      <c r="GQ130" s="72"/>
      <c r="GR130" s="72"/>
      <c r="GS130" s="72"/>
      <c r="GT130" s="72"/>
      <c r="GU130" s="72"/>
      <c r="GV130" s="72"/>
      <c r="GW130" s="72"/>
      <c r="GX130" s="72"/>
      <c r="GY130" s="72"/>
      <c r="GZ130" s="72"/>
      <c r="HA130" s="72"/>
      <c r="HB130" s="72"/>
      <c r="HC130" s="72"/>
      <c r="HD130" s="72"/>
      <c r="HE130" s="72"/>
      <c r="HF130" s="72"/>
      <c r="HG130" s="72"/>
      <c r="HH130" s="72"/>
      <c r="HI130" s="72"/>
      <c r="HJ130" s="72"/>
      <c r="HK130" s="72"/>
      <c r="HL130" s="72"/>
      <c r="HM130" s="72"/>
    </row>
    <row r="131" spans="1:221">
      <c r="A131" s="64" t="s">
        <v>552</v>
      </c>
      <c r="B131" s="65" t="s">
        <v>513</v>
      </c>
      <c r="C131" s="66"/>
      <c r="D131" s="66"/>
      <c r="E131" s="62"/>
      <c r="F131" s="62"/>
      <c r="G131" s="68">
        <f>IFERROR(AVERAGEIFS(G132:G134,$C132:$C134,"&lt;&gt;",$H132:$H134,"&lt;&gt;삭제"),0)</f>
        <v>0</v>
      </c>
      <c r="H131" s="66" t="str">
        <f>IF($G131&gt;=1,"완료",IF($G131&gt;0,"진행중","작업대기"))</f>
        <v>작업대기</v>
      </c>
      <c r="I131" s="65"/>
      <c r="J131" s="65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72"/>
      <c r="EJ131" s="72"/>
      <c r="EK131" s="72"/>
      <c r="EL131" s="72"/>
      <c r="EM131" s="72"/>
      <c r="EN131" s="72"/>
      <c r="EO131" s="72"/>
      <c r="EP131" s="72"/>
      <c r="EQ131" s="72"/>
      <c r="ER131" s="72"/>
      <c r="ES131" s="72"/>
      <c r="ET131" s="72"/>
      <c r="EU131" s="72"/>
      <c r="EV131" s="72"/>
      <c r="EW131" s="72"/>
      <c r="EX131" s="72"/>
      <c r="EY131" s="72"/>
      <c r="EZ131" s="72"/>
      <c r="FA131" s="72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72"/>
      <c r="FM131" s="72"/>
      <c r="FN131" s="72"/>
      <c r="FO131" s="72"/>
      <c r="FP131" s="72"/>
      <c r="FQ131" s="72"/>
      <c r="FR131" s="72"/>
      <c r="FS131" s="72"/>
      <c r="FT131" s="72"/>
      <c r="FU131" s="72"/>
      <c r="FV131" s="72"/>
      <c r="FW131" s="72"/>
      <c r="FX131" s="72"/>
      <c r="FY131" s="72"/>
      <c r="FZ131" s="72"/>
      <c r="GA131" s="72"/>
      <c r="GB131" s="72"/>
      <c r="GC131" s="72"/>
      <c r="GD131" s="72"/>
      <c r="GE131" s="72"/>
      <c r="GF131" s="72"/>
      <c r="GG131" s="72"/>
      <c r="GH131" s="72"/>
      <c r="GI131" s="72"/>
      <c r="GJ131" s="72"/>
      <c r="GK131" s="72"/>
      <c r="GL131" s="72"/>
      <c r="GM131" s="72"/>
      <c r="GN131" s="72"/>
      <c r="GO131" s="72"/>
      <c r="GP131" s="72"/>
      <c r="GQ131" s="72"/>
      <c r="GR131" s="72"/>
      <c r="GS131" s="72"/>
      <c r="GT131" s="72"/>
      <c r="GU131" s="72"/>
      <c r="GV131" s="72"/>
      <c r="GW131" s="72"/>
      <c r="GX131" s="72"/>
      <c r="GY131" s="72"/>
      <c r="GZ131" s="72"/>
      <c r="HA131" s="72"/>
      <c r="HB131" s="72"/>
      <c r="HC131" s="72"/>
      <c r="HD131" s="72"/>
      <c r="HE131" s="72"/>
      <c r="HF131" s="72"/>
      <c r="HG131" s="72"/>
      <c r="HH131" s="72"/>
      <c r="HI131" s="72"/>
      <c r="HJ131" s="72"/>
      <c r="HK131" s="72"/>
      <c r="HL131" s="72"/>
      <c r="HM131" s="72"/>
    </row>
    <row r="132" spans="1:221" outlineLevel="1">
      <c r="A132" s="49" t="s">
        <v>352</v>
      </c>
      <c r="B132" s="50" t="s">
        <v>514</v>
      </c>
      <c r="C132" s="51" t="s">
        <v>75</v>
      </c>
      <c r="D132" s="51"/>
      <c r="E132" s="62"/>
      <c r="F132" s="62"/>
      <c r="G132" s="53">
        <f>IF(OR($H132="삭제",$H132="작업대기",$H132="보류"),0,IF($H132="완료",1,IFERROR(MIN(0.99,MAX(0,($F$3-$E132)/($F132-$E132))),0)))</f>
        <v>0</v>
      </c>
      <c r="H132" s="51" t="s">
        <v>106</v>
      </c>
      <c r="I132" s="50" t="str">
        <f ca="1">IF(AND($F132&lt;&gt;"",$F132&lt;$F$3,$H132&lt;&gt;"완료",$H132&lt;&gt;"삭제",$H132&lt;&gt;"보류",$H132&lt;&gt;""),"⚠ 마감 초과",IF(AND($F132&lt;&gt;"",$F132&gt;$F$3,$H132="완료"),"⚡ 미래 날짜 완료 이상",""))</f>
        <v/>
      </c>
      <c r="J132" s="50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/>
      <c r="EB132" s="72"/>
      <c r="EC132" s="72"/>
      <c r="ED132" s="72"/>
      <c r="EE132" s="72"/>
      <c r="EF132" s="72"/>
      <c r="EG132" s="72"/>
      <c r="EH132" s="72"/>
      <c r="EI132" s="72"/>
      <c r="EJ132" s="72"/>
      <c r="EK132" s="72"/>
      <c r="EL132" s="72"/>
      <c r="EM132" s="72"/>
      <c r="EN132" s="72"/>
      <c r="EO132" s="72"/>
      <c r="EP132" s="72"/>
      <c r="EQ132" s="72"/>
      <c r="ER132" s="72"/>
      <c r="ES132" s="72"/>
      <c r="ET132" s="72"/>
      <c r="EU132" s="72"/>
      <c r="EV132" s="72"/>
      <c r="EW132" s="72"/>
      <c r="EX132" s="72"/>
      <c r="EY132" s="72"/>
      <c r="EZ132" s="72"/>
      <c r="FA132" s="72"/>
      <c r="FB132" s="72"/>
      <c r="FC132" s="72"/>
      <c r="FD132" s="72"/>
      <c r="FE132" s="72"/>
      <c r="FF132" s="72"/>
      <c r="FG132" s="72"/>
      <c r="FH132" s="72"/>
      <c r="FI132" s="72"/>
      <c r="FJ132" s="72"/>
      <c r="FK132" s="72"/>
      <c r="FL132" s="72"/>
      <c r="FM132" s="72"/>
      <c r="FN132" s="72"/>
      <c r="FO132" s="72"/>
      <c r="FP132" s="72"/>
      <c r="FQ132" s="72"/>
      <c r="FR132" s="72"/>
      <c r="FS132" s="72"/>
      <c r="FT132" s="72"/>
      <c r="FU132" s="72"/>
      <c r="FV132" s="72"/>
      <c r="FW132" s="72"/>
      <c r="FX132" s="72"/>
      <c r="FY132" s="72"/>
      <c r="FZ132" s="72"/>
      <c r="GA132" s="72"/>
      <c r="GB132" s="72"/>
      <c r="GC132" s="72"/>
      <c r="GD132" s="72"/>
      <c r="GE132" s="72"/>
      <c r="GF132" s="72"/>
      <c r="GG132" s="72"/>
      <c r="GH132" s="72"/>
      <c r="GI132" s="72"/>
      <c r="GJ132" s="72"/>
      <c r="GK132" s="72"/>
      <c r="GL132" s="72"/>
      <c r="GM132" s="72"/>
      <c r="GN132" s="72"/>
      <c r="GO132" s="72"/>
      <c r="GP132" s="72"/>
      <c r="GQ132" s="72"/>
      <c r="GR132" s="72"/>
      <c r="GS132" s="72"/>
      <c r="GT132" s="72"/>
      <c r="GU132" s="72"/>
      <c r="GV132" s="72"/>
      <c r="GW132" s="72"/>
      <c r="GX132" s="72"/>
      <c r="GY132" s="72"/>
      <c r="GZ132" s="72"/>
      <c r="HA132" s="72"/>
      <c r="HB132" s="72"/>
      <c r="HC132" s="72"/>
      <c r="HD132" s="72"/>
      <c r="HE132" s="72"/>
      <c r="HF132" s="72"/>
      <c r="HG132" s="72"/>
      <c r="HH132" s="72"/>
      <c r="HI132" s="72"/>
      <c r="HJ132" s="72"/>
      <c r="HK132" s="72"/>
      <c r="HL132" s="72"/>
      <c r="HM132" s="72"/>
    </row>
    <row r="133" spans="1:221" outlineLevel="1">
      <c r="A133" s="49" t="s">
        <v>353</v>
      </c>
      <c r="B133" s="50" t="s">
        <v>515</v>
      </c>
      <c r="C133" s="51" t="s">
        <v>88</v>
      </c>
      <c r="D133" s="51" t="s">
        <v>562</v>
      </c>
      <c r="E133" s="62"/>
      <c r="F133" s="62"/>
      <c r="G133" s="53">
        <f>IF(OR($H133="삭제",$H133="작업대기",$H133="보류"),0,IF($H133="완료",1,IFERROR(MIN(0.99,MAX(0,($F$3-$E133)/($F133-$E133))),0)))</f>
        <v>0</v>
      </c>
      <c r="H133" s="51" t="s">
        <v>106</v>
      </c>
      <c r="I133" s="50" t="str">
        <f ca="1">IF(AND($F133&lt;&gt;"",$F133&lt;$F$3,$H133&lt;&gt;"완료",$H133&lt;&gt;"삭제",$H133&lt;&gt;"보류",$H133&lt;&gt;""),"⚠ 마감 초과",IF(AND($F133&lt;&gt;"",$F133&gt;$F$3,$H133="완료"),"⚡ 미래 날짜 완료 이상",""))</f>
        <v/>
      </c>
      <c r="J133" s="50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72"/>
      <c r="EL133" s="72"/>
      <c r="EM133" s="72"/>
      <c r="EN133" s="72"/>
      <c r="EO133" s="72"/>
      <c r="EP133" s="72"/>
      <c r="EQ133" s="72"/>
      <c r="ER133" s="72"/>
      <c r="ES133" s="72"/>
      <c r="ET133" s="72"/>
      <c r="EU133" s="72"/>
      <c r="EV133" s="72"/>
      <c r="EW133" s="72"/>
      <c r="EX133" s="72"/>
      <c r="EY133" s="72"/>
      <c r="EZ133" s="72"/>
      <c r="FA133" s="72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72"/>
      <c r="FM133" s="72"/>
      <c r="FN133" s="72"/>
      <c r="FO133" s="72"/>
      <c r="FP133" s="72"/>
      <c r="FQ133" s="72"/>
      <c r="FR133" s="72"/>
      <c r="FS133" s="72"/>
      <c r="FT133" s="72"/>
      <c r="FU133" s="72"/>
      <c r="FV133" s="72"/>
      <c r="FW133" s="72"/>
      <c r="FX133" s="72"/>
      <c r="FY133" s="72"/>
      <c r="FZ133" s="72"/>
      <c r="GA133" s="72"/>
      <c r="GB133" s="72"/>
      <c r="GC133" s="72"/>
      <c r="GD133" s="72"/>
      <c r="GE133" s="72"/>
      <c r="GF133" s="72"/>
      <c r="GG133" s="72"/>
      <c r="GH133" s="72"/>
      <c r="GI133" s="72"/>
      <c r="GJ133" s="72"/>
      <c r="GK133" s="72"/>
      <c r="GL133" s="72"/>
      <c r="GM133" s="72"/>
      <c r="GN133" s="72"/>
      <c r="GO133" s="72"/>
      <c r="GP133" s="72"/>
      <c r="GQ133" s="72"/>
      <c r="GR133" s="72"/>
      <c r="GS133" s="72"/>
      <c r="GT133" s="72"/>
      <c r="GU133" s="72"/>
      <c r="GV133" s="72"/>
      <c r="GW133" s="72"/>
      <c r="GX133" s="72"/>
      <c r="GY133" s="72"/>
      <c r="GZ133" s="72"/>
      <c r="HA133" s="72"/>
      <c r="HB133" s="72"/>
      <c r="HC133" s="72"/>
      <c r="HD133" s="72"/>
      <c r="HE133" s="72"/>
      <c r="HF133" s="72"/>
      <c r="HG133" s="72"/>
      <c r="HH133" s="72"/>
      <c r="HI133" s="72"/>
      <c r="HJ133" s="72"/>
      <c r="HK133" s="72"/>
      <c r="HL133" s="72"/>
      <c r="HM133" s="72"/>
    </row>
    <row r="134" spans="1:221" outlineLevel="1">
      <c r="A134" s="49" t="s">
        <v>354</v>
      </c>
      <c r="B134" s="50" t="s">
        <v>516</v>
      </c>
      <c r="C134" s="51" t="s">
        <v>75</v>
      </c>
      <c r="D134" s="51"/>
      <c r="E134" s="62"/>
      <c r="F134" s="62"/>
      <c r="G134" s="53">
        <f>IF(OR($H134="삭제",$H134="작업대기",$H134="보류"),0,IF($H134="완료",1,IFERROR(MIN(0.99,MAX(0,($F$3-$E134)/($F134-$E134))),0)))</f>
        <v>0</v>
      </c>
      <c r="H134" s="51" t="s">
        <v>106</v>
      </c>
      <c r="I134" s="50" t="str">
        <f ca="1">IF(AND($F134&lt;&gt;"",$F134&lt;$F$3,$H134&lt;&gt;"완료",$H134&lt;&gt;"삭제",$H134&lt;&gt;"보류",$H134&lt;&gt;""),"⚠ 마감 초과",IF(AND($F134&lt;&gt;"",$F134&gt;$F$3,$H134="완료"),"⚡ 미래 날짜 완료 이상",""))</f>
        <v/>
      </c>
      <c r="J134" s="50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72"/>
      <c r="EJ134" s="72"/>
      <c r="EK134" s="72"/>
      <c r="EL134" s="72"/>
      <c r="EM134" s="72"/>
      <c r="EN134" s="72"/>
      <c r="EO134" s="72"/>
      <c r="EP134" s="72"/>
      <c r="EQ134" s="72"/>
      <c r="ER134" s="72"/>
      <c r="ES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2"/>
      <c r="FV134" s="72"/>
      <c r="FW134" s="72"/>
      <c r="FX134" s="72"/>
      <c r="FY134" s="72"/>
      <c r="FZ134" s="72"/>
      <c r="GA134" s="72"/>
      <c r="GB134" s="72"/>
      <c r="GC134" s="72"/>
      <c r="GD134" s="72"/>
      <c r="GE134" s="72"/>
      <c r="GF134" s="72"/>
      <c r="GG134" s="72"/>
      <c r="GH134" s="72"/>
      <c r="GI134" s="72"/>
      <c r="GJ134" s="72"/>
      <c r="GK134" s="72"/>
      <c r="GL134" s="72"/>
      <c r="GM134" s="72"/>
      <c r="GN134" s="72"/>
      <c r="GO134" s="72"/>
      <c r="GP134" s="72"/>
      <c r="GQ134" s="72"/>
      <c r="GR134" s="72"/>
      <c r="GS134" s="72"/>
      <c r="GT134" s="72"/>
      <c r="GU134" s="72"/>
      <c r="GV134" s="72"/>
      <c r="GW134" s="72"/>
      <c r="GX134" s="72"/>
      <c r="GY134" s="72"/>
      <c r="GZ134" s="72"/>
      <c r="HA134" s="72"/>
      <c r="HB134" s="72"/>
      <c r="HC134" s="72"/>
      <c r="HD134" s="72"/>
      <c r="HE134" s="72"/>
      <c r="HF134" s="72"/>
      <c r="HG134" s="72"/>
      <c r="HH134" s="72"/>
      <c r="HI134" s="72"/>
      <c r="HJ134" s="72"/>
      <c r="HK134" s="72"/>
      <c r="HL134" s="72"/>
      <c r="HM134" s="72"/>
    </row>
    <row r="135" spans="1:221">
      <c r="A135" s="64" t="s">
        <v>553</v>
      </c>
      <c r="B135" s="65" t="s">
        <v>517</v>
      </c>
      <c r="C135" s="66"/>
      <c r="D135" s="66"/>
      <c r="E135" s="62"/>
      <c r="F135" s="62"/>
      <c r="G135" s="68">
        <f>IFERROR(AVERAGEIFS(G136:G136,$C136:$C136,"&lt;&gt;",$H136:$H136,"&lt;&gt;삭제"),0)</f>
        <v>0</v>
      </c>
      <c r="H135" s="66" t="str">
        <f>IF($G135&gt;=1,"완료",IF($G135&gt;0,"진행중","작업대기"))</f>
        <v>작업대기</v>
      </c>
      <c r="I135" s="65"/>
      <c r="J135" s="65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72"/>
      <c r="EJ135" s="72"/>
      <c r="EK135" s="72"/>
      <c r="EL135" s="72"/>
      <c r="EM135" s="72"/>
      <c r="EN135" s="72"/>
      <c r="EO135" s="72"/>
      <c r="EP135" s="72"/>
      <c r="EQ135" s="72"/>
      <c r="ER135" s="72"/>
      <c r="ES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2"/>
      <c r="FV135" s="72"/>
      <c r="FW135" s="72"/>
      <c r="FX135" s="72"/>
      <c r="FY135" s="72"/>
      <c r="FZ135" s="72"/>
      <c r="GA135" s="72"/>
      <c r="GB135" s="72"/>
      <c r="GC135" s="72"/>
      <c r="GD135" s="72"/>
      <c r="GE135" s="72"/>
      <c r="GF135" s="72"/>
      <c r="GG135" s="72"/>
      <c r="GH135" s="72"/>
      <c r="GI135" s="72"/>
      <c r="GJ135" s="72"/>
      <c r="GK135" s="72"/>
      <c r="GL135" s="72"/>
      <c r="GM135" s="72"/>
      <c r="GN135" s="72"/>
      <c r="GO135" s="72"/>
      <c r="GP135" s="72"/>
      <c r="GQ135" s="72"/>
      <c r="GR135" s="72"/>
      <c r="GS135" s="72"/>
      <c r="GT135" s="72"/>
      <c r="GU135" s="72"/>
      <c r="GV135" s="72"/>
      <c r="GW135" s="72"/>
      <c r="GX135" s="72"/>
      <c r="GY135" s="72"/>
      <c r="GZ135" s="72"/>
      <c r="HA135" s="72"/>
      <c r="HB135" s="72"/>
      <c r="HC135" s="72"/>
      <c r="HD135" s="72"/>
      <c r="HE135" s="72"/>
      <c r="HF135" s="72"/>
      <c r="HG135" s="72"/>
      <c r="HH135" s="72"/>
      <c r="HI135" s="72"/>
      <c r="HJ135" s="72"/>
      <c r="HK135" s="72"/>
      <c r="HL135" s="72"/>
      <c r="HM135" s="72"/>
    </row>
    <row r="136" spans="1:221" outlineLevel="1">
      <c r="A136" s="49" t="s">
        <v>355</v>
      </c>
      <c r="B136" s="50" t="s">
        <v>518</v>
      </c>
      <c r="C136" s="51" t="s">
        <v>75</v>
      </c>
      <c r="D136" s="51"/>
      <c r="E136" s="62"/>
      <c r="F136" s="62"/>
      <c r="G136" s="53">
        <f>IF(OR($H136="삭제",$H136="작업대기",$H136="보류"),0,IF($H136="완료",1,IFERROR(MIN(0.99,MAX(0,($F$3-$E136)/($F136-$E136))),0)))</f>
        <v>0</v>
      </c>
      <c r="H136" s="51" t="s">
        <v>106</v>
      </c>
      <c r="I136" s="50" t="str">
        <f ca="1">IF(AND($F136&lt;&gt;"",$F136&lt;$F$3,$H136&lt;&gt;"완료",$H136&lt;&gt;"삭제",$H136&lt;&gt;"보류",$H136&lt;&gt;""),"⚠ 마감 초과",IF(AND($F136&lt;&gt;"",$F136&gt;$F$3,$H136="완료"),"⚡ 미래 날짜 완료 이상",""))</f>
        <v/>
      </c>
      <c r="J136" s="50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  <c r="DY136" s="72"/>
      <c r="DZ136" s="72"/>
      <c r="EA136" s="72"/>
      <c r="EB136" s="72"/>
      <c r="EC136" s="72"/>
      <c r="ED136" s="72"/>
      <c r="EE136" s="72"/>
      <c r="EF136" s="72"/>
      <c r="EG136" s="72"/>
      <c r="EH136" s="72"/>
      <c r="EI136" s="72"/>
      <c r="EJ136" s="72"/>
      <c r="EK136" s="72"/>
      <c r="EL136" s="72"/>
      <c r="EM136" s="72"/>
      <c r="EN136" s="72"/>
      <c r="EO136" s="72"/>
      <c r="EP136" s="72"/>
      <c r="EQ136" s="72"/>
      <c r="ER136" s="72"/>
      <c r="ES136" s="72"/>
      <c r="ET136" s="72"/>
      <c r="EU136" s="72"/>
      <c r="EV136" s="72"/>
      <c r="EW136" s="72"/>
      <c r="EX136" s="72"/>
      <c r="EY136" s="72"/>
      <c r="EZ136" s="72"/>
      <c r="FA136" s="72"/>
      <c r="FB136" s="72"/>
      <c r="FC136" s="72"/>
      <c r="FD136" s="72"/>
      <c r="FE136" s="72"/>
      <c r="FF136" s="72"/>
      <c r="FG136" s="72"/>
      <c r="FH136" s="72"/>
      <c r="FI136" s="72"/>
      <c r="FJ136" s="72"/>
      <c r="FK136" s="72"/>
      <c r="FL136" s="72"/>
      <c r="FM136" s="72"/>
      <c r="FN136" s="72"/>
      <c r="FO136" s="72"/>
      <c r="FP136" s="72"/>
      <c r="FQ136" s="72"/>
      <c r="FR136" s="72"/>
      <c r="FS136" s="72"/>
      <c r="FT136" s="72"/>
      <c r="FU136" s="72"/>
      <c r="FV136" s="72"/>
      <c r="FW136" s="72"/>
      <c r="FX136" s="72"/>
      <c r="FY136" s="72"/>
      <c r="FZ136" s="72"/>
      <c r="GA136" s="72"/>
      <c r="GB136" s="72"/>
      <c r="GC136" s="72"/>
      <c r="GD136" s="72"/>
      <c r="GE136" s="72"/>
      <c r="GF136" s="72"/>
      <c r="GG136" s="72"/>
      <c r="GH136" s="72"/>
      <c r="GI136" s="72"/>
      <c r="GJ136" s="72"/>
      <c r="GK136" s="72"/>
      <c r="GL136" s="72"/>
      <c r="GM136" s="72"/>
      <c r="GN136" s="72"/>
      <c r="GO136" s="72"/>
      <c r="GP136" s="72"/>
      <c r="GQ136" s="72"/>
      <c r="GR136" s="72"/>
      <c r="GS136" s="72"/>
      <c r="GT136" s="72"/>
      <c r="GU136" s="72"/>
      <c r="GV136" s="72"/>
      <c r="GW136" s="72"/>
      <c r="GX136" s="72"/>
      <c r="GY136" s="72"/>
      <c r="GZ136" s="72"/>
      <c r="HA136" s="72"/>
      <c r="HB136" s="72"/>
      <c r="HC136" s="72"/>
      <c r="HD136" s="72"/>
      <c r="HE136" s="72"/>
      <c r="HF136" s="72"/>
      <c r="HG136" s="72"/>
      <c r="HH136" s="72"/>
      <c r="HI136" s="72"/>
      <c r="HJ136" s="72"/>
      <c r="HK136" s="72"/>
      <c r="HL136" s="72"/>
      <c r="HM136" s="72"/>
    </row>
    <row r="137" spans="1:221">
      <c r="A137" s="59" t="s">
        <v>554</v>
      </c>
      <c r="B137" s="60" t="s">
        <v>183</v>
      </c>
      <c r="C137" s="61"/>
      <c r="D137" s="61"/>
      <c r="E137" s="62"/>
      <c r="F137" s="62"/>
      <c r="G137" s="63">
        <f>IFERROR(AVERAGEIFS(G138:G143,$C138:$C143,"&lt;&gt;",$H138:$H143,"&lt;&gt;삭제"),0)</f>
        <v>0</v>
      </c>
      <c r="H137" s="61" t="str">
        <f>IF($G137&gt;=1,"완료",IF($G137&gt;0,"진행중","작업대기"))</f>
        <v>작업대기</v>
      </c>
      <c r="I137" s="60"/>
      <c r="J137" s="60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72"/>
      <c r="EJ137" s="72"/>
      <c r="EK137" s="72"/>
      <c r="EL137" s="72"/>
      <c r="EM137" s="72"/>
      <c r="EN137" s="72"/>
      <c r="EO137" s="72"/>
      <c r="EP137" s="72"/>
      <c r="EQ137" s="72"/>
      <c r="ER137" s="72"/>
      <c r="ES137" s="72"/>
      <c r="ET137" s="72"/>
      <c r="EU137" s="72"/>
      <c r="EV137" s="72"/>
      <c r="EW137" s="72"/>
      <c r="EX137" s="72"/>
      <c r="EY137" s="72"/>
      <c r="EZ137" s="72"/>
      <c r="FA137" s="72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  <c r="FU137" s="72"/>
      <c r="FV137" s="72"/>
      <c r="FW137" s="72"/>
      <c r="FX137" s="72"/>
      <c r="FY137" s="72"/>
      <c r="FZ137" s="72"/>
      <c r="GA137" s="72"/>
      <c r="GB137" s="72"/>
      <c r="GC137" s="72"/>
      <c r="GD137" s="72"/>
      <c r="GE137" s="72"/>
      <c r="GF137" s="72"/>
      <c r="GG137" s="72"/>
      <c r="GH137" s="72"/>
      <c r="GI137" s="72"/>
      <c r="GJ137" s="72"/>
      <c r="GK137" s="72"/>
      <c r="GL137" s="72"/>
      <c r="GM137" s="72"/>
      <c r="GN137" s="72"/>
      <c r="GO137" s="72"/>
      <c r="GP137" s="72"/>
      <c r="GQ137" s="72"/>
      <c r="GR137" s="72"/>
      <c r="GS137" s="72"/>
      <c r="GT137" s="72"/>
      <c r="GU137" s="72"/>
      <c r="GV137" s="72"/>
      <c r="GW137" s="72"/>
      <c r="GX137" s="72"/>
      <c r="GY137" s="72"/>
      <c r="GZ137" s="72"/>
      <c r="HA137" s="72"/>
      <c r="HB137" s="72"/>
      <c r="HC137" s="72"/>
      <c r="HD137" s="72"/>
      <c r="HE137" s="72"/>
      <c r="HF137" s="72"/>
      <c r="HG137" s="72"/>
      <c r="HH137" s="72"/>
      <c r="HI137" s="72"/>
      <c r="HJ137" s="72"/>
      <c r="HK137" s="72"/>
      <c r="HL137" s="72"/>
      <c r="HM137" s="72"/>
    </row>
    <row r="138" spans="1:221">
      <c r="A138" s="64" t="s">
        <v>555</v>
      </c>
      <c r="B138" s="65" t="s">
        <v>519</v>
      </c>
      <c r="C138" s="66"/>
      <c r="D138" s="66"/>
      <c r="E138" s="62"/>
      <c r="F138" s="62"/>
      <c r="G138" s="68">
        <f>IFERROR(AVERAGEIFS(G139:G143,$C139:$C143,"&lt;&gt;",$H139:$H143,"&lt;&gt;삭제"),0)</f>
        <v>0</v>
      </c>
      <c r="H138" s="66" t="str">
        <f>IF($G138&gt;=1,"완료",IF($G138&gt;0,"진행중","작업대기"))</f>
        <v>작업대기</v>
      </c>
      <c r="I138" s="65"/>
      <c r="J138" s="65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72"/>
      <c r="EJ138" s="72"/>
      <c r="EK138" s="72"/>
      <c r="EL138" s="72"/>
      <c r="EM138" s="72"/>
      <c r="EN138" s="72"/>
      <c r="EO138" s="72"/>
      <c r="EP138" s="72"/>
      <c r="EQ138" s="72"/>
      <c r="ER138" s="72"/>
      <c r="ES138" s="72"/>
      <c r="ET138" s="72"/>
      <c r="EU138" s="72"/>
      <c r="EV138" s="72"/>
      <c r="EW138" s="72"/>
      <c r="EX138" s="72"/>
      <c r="EY138" s="72"/>
      <c r="EZ138" s="72"/>
      <c r="FA138" s="72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  <c r="FU138" s="72"/>
      <c r="FV138" s="72"/>
      <c r="FW138" s="72"/>
      <c r="FX138" s="72"/>
      <c r="FY138" s="72"/>
      <c r="FZ138" s="72"/>
      <c r="GA138" s="72"/>
      <c r="GB138" s="72"/>
      <c r="GC138" s="72"/>
      <c r="GD138" s="72"/>
      <c r="GE138" s="72"/>
      <c r="GF138" s="72"/>
      <c r="GG138" s="72"/>
      <c r="GH138" s="72"/>
      <c r="GI138" s="72"/>
      <c r="GJ138" s="72"/>
      <c r="GK138" s="72"/>
      <c r="GL138" s="72"/>
      <c r="GM138" s="72"/>
      <c r="GN138" s="72"/>
      <c r="GO138" s="72"/>
      <c r="GP138" s="72"/>
      <c r="GQ138" s="72"/>
      <c r="GR138" s="72"/>
      <c r="GS138" s="72"/>
      <c r="GT138" s="72"/>
      <c r="GU138" s="72"/>
      <c r="GV138" s="72"/>
      <c r="GW138" s="72"/>
      <c r="GX138" s="72"/>
      <c r="GY138" s="72"/>
      <c r="GZ138" s="72"/>
      <c r="HA138" s="72"/>
      <c r="HB138" s="72"/>
      <c r="HC138" s="72"/>
      <c r="HD138" s="72"/>
      <c r="HE138" s="72"/>
      <c r="HF138" s="72"/>
      <c r="HG138" s="72"/>
      <c r="HH138" s="72"/>
      <c r="HI138" s="72"/>
      <c r="HJ138" s="72"/>
      <c r="HK138" s="72"/>
      <c r="HL138" s="72"/>
      <c r="HM138" s="72"/>
    </row>
    <row r="139" spans="1:221" outlineLevel="1">
      <c r="A139" s="49" t="s">
        <v>356</v>
      </c>
      <c r="B139" s="50" t="s">
        <v>520</v>
      </c>
      <c r="C139" s="51" t="s">
        <v>88</v>
      </c>
      <c r="D139" s="51" t="s">
        <v>562</v>
      </c>
      <c r="E139" s="52">
        <v>46286</v>
      </c>
      <c r="F139" s="52">
        <v>46293</v>
      </c>
      <c r="G139" s="53">
        <f>IF(OR($H139="삭제",$H139="작업대기",$H139="보류"),0,IF($H139="완료",1,IFERROR(MIN(0.99,MAX(0,($F$3-$E139)/($F139-$E139))),0)))</f>
        <v>0</v>
      </c>
      <c r="H139" s="51" t="s">
        <v>106</v>
      </c>
      <c r="I139" s="50" t="str">
        <f ca="1">IF(AND($F139&lt;&gt;"",$F139&lt;$F$3,$H139&lt;&gt;"완료",$H139&lt;&gt;"삭제",$H139&lt;&gt;"보류",$H139&lt;&gt;""),"⚠ 마감 초과",IF(AND($F139&lt;&gt;"",$F139&gt;$F$3,$H139="완료"),"⚡ 미래 날짜 완료 이상",""))</f>
        <v/>
      </c>
      <c r="J139" s="50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72"/>
      <c r="EJ139" s="72"/>
      <c r="EK139" s="72"/>
      <c r="EL139" s="72"/>
      <c r="EM139" s="72"/>
      <c r="EN139" s="72"/>
      <c r="EO139" s="72"/>
      <c r="EP139" s="72"/>
      <c r="EQ139" s="72"/>
      <c r="ER139" s="72"/>
      <c r="ES139" s="72"/>
      <c r="ET139" s="72"/>
      <c r="EU139" s="72"/>
      <c r="EV139" s="72"/>
      <c r="EW139" s="72"/>
      <c r="EX139" s="72"/>
      <c r="EY139" s="72"/>
      <c r="EZ139" s="72"/>
      <c r="FA139" s="72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2"/>
      <c r="FV139" s="72"/>
      <c r="FW139" s="72"/>
      <c r="FX139" s="72"/>
      <c r="FY139" s="72"/>
      <c r="FZ139" s="72"/>
      <c r="GA139" s="72"/>
      <c r="GB139" s="72"/>
      <c r="GC139" s="72"/>
      <c r="GD139" s="72"/>
      <c r="GE139" s="72"/>
      <c r="GF139" s="72"/>
      <c r="GG139" s="72"/>
      <c r="GH139" s="72"/>
      <c r="GI139" s="72"/>
      <c r="GJ139" s="72"/>
      <c r="GK139" s="72"/>
      <c r="GL139" s="72"/>
      <c r="GM139" s="72"/>
      <c r="GN139" s="72"/>
      <c r="GO139" s="72"/>
      <c r="GP139" s="72"/>
      <c r="GQ139" s="72"/>
      <c r="GR139" s="72"/>
      <c r="GS139" s="72"/>
      <c r="GT139" s="72"/>
      <c r="GU139" s="72"/>
      <c r="GV139" s="72"/>
      <c r="GW139" s="72"/>
      <c r="GX139" s="72"/>
      <c r="GY139" s="72"/>
      <c r="GZ139" s="72"/>
      <c r="HA139" s="72"/>
      <c r="HB139" s="72"/>
      <c r="HC139" s="72"/>
      <c r="HD139" s="72"/>
      <c r="HE139" s="72"/>
      <c r="HF139" s="72"/>
      <c r="HG139" s="72"/>
      <c r="HH139" s="72"/>
      <c r="HI139" s="72"/>
      <c r="HJ139" s="72"/>
      <c r="HK139" s="72"/>
      <c r="HL139" s="72"/>
      <c r="HM139" s="72"/>
    </row>
    <row r="140" spans="1:221" outlineLevel="1">
      <c r="A140" s="49" t="s">
        <v>357</v>
      </c>
      <c r="B140" s="50" t="s">
        <v>521</v>
      </c>
      <c r="C140" s="51" t="s">
        <v>88</v>
      </c>
      <c r="D140" s="51" t="s">
        <v>562</v>
      </c>
      <c r="E140" s="52">
        <v>46286</v>
      </c>
      <c r="F140" s="52">
        <v>46293</v>
      </c>
      <c r="G140" s="53">
        <f>IF(OR($H140="삭제",$H140="작업대기",$H140="보류"),0,IF($H140="완료",1,IFERROR(MIN(0.99,MAX(0,($F$3-$E140)/($F140-$E140))),0)))</f>
        <v>0</v>
      </c>
      <c r="H140" s="51" t="s">
        <v>106</v>
      </c>
      <c r="I140" s="50" t="str">
        <f ca="1">IF(AND($F140&lt;&gt;"",$F140&lt;$F$3,$H140&lt;&gt;"완료",$H140&lt;&gt;"삭제",$H140&lt;&gt;"보류",$H140&lt;&gt;""),"⚠ 마감 초과",IF(AND($F140&lt;&gt;"",$F140&gt;$F$3,$H140="완료"),"⚡ 미래 날짜 완료 이상",""))</f>
        <v/>
      </c>
      <c r="J140" s="50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72"/>
      <c r="EJ140" s="72"/>
      <c r="EK140" s="72"/>
      <c r="EL140" s="72"/>
      <c r="EM140" s="72"/>
      <c r="EN140" s="72"/>
      <c r="EO140" s="72"/>
      <c r="EP140" s="72"/>
      <c r="EQ140" s="72"/>
      <c r="ER140" s="72"/>
      <c r="ES140" s="72"/>
      <c r="ET140" s="72"/>
      <c r="EU140" s="72"/>
      <c r="EV140" s="72"/>
      <c r="EW140" s="72"/>
      <c r="EX140" s="72"/>
      <c r="EY140" s="72"/>
      <c r="EZ140" s="72"/>
      <c r="FA140" s="72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  <c r="FU140" s="72"/>
      <c r="FV140" s="72"/>
      <c r="FW140" s="72"/>
      <c r="FX140" s="72"/>
      <c r="FY140" s="72"/>
      <c r="FZ140" s="72"/>
      <c r="GA140" s="72"/>
      <c r="GB140" s="72"/>
      <c r="GC140" s="72"/>
      <c r="GD140" s="72"/>
      <c r="GE140" s="72"/>
      <c r="GF140" s="72"/>
      <c r="GG140" s="72"/>
      <c r="GH140" s="72"/>
      <c r="GI140" s="72"/>
      <c r="GJ140" s="72"/>
      <c r="GK140" s="72"/>
      <c r="GL140" s="72"/>
      <c r="GM140" s="72"/>
      <c r="GN140" s="72"/>
      <c r="GO140" s="72"/>
      <c r="GP140" s="72"/>
      <c r="GQ140" s="72"/>
      <c r="GR140" s="72"/>
      <c r="GS140" s="72"/>
      <c r="GT140" s="72"/>
      <c r="GU140" s="72"/>
      <c r="GV140" s="72"/>
      <c r="GW140" s="72"/>
      <c r="GX140" s="72"/>
      <c r="GY140" s="72"/>
      <c r="GZ140" s="72"/>
      <c r="HA140" s="72"/>
      <c r="HB140" s="72"/>
      <c r="HC140" s="72"/>
      <c r="HD140" s="72"/>
      <c r="HE140" s="72"/>
      <c r="HF140" s="72"/>
      <c r="HG140" s="72"/>
      <c r="HH140" s="72"/>
      <c r="HI140" s="72"/>
      <c r="HJ140" s="72"/>
      <c r="HK140" s="72"/>
      <c r="HL140" s="72"/>
      <c r="HM140" s="72"/>
    </row>
    <row r="141" spans="1:221" outlineLevel="1">
      <c r="A141" s="49" t="s">
        <v>358</v>
      </c>
      <c r="B141" s="50" t="s">
        <v>522</v>
      </c>
      <c r="C141" s="51" t="s">
        <v>146</v>
      </c>
      <c r="D141" s="51" t="s">
        <v>563</v>
      </c>
      <c r="E141" s="52">
        <v>46286</v>
      </c>
      <c r="F141" s="52">
        <v>46293</v>
      </c>
      <c r="G141" s="53">
        <f>IF(OR($H141="삭제",$H141="작업대기",$H141="보류"),0,IF($H141="완료",1,IFERROR(MIN(0.99,MAX(0,($F$3-$E141)/($F141-$E141))),0)))</f>
        <v>0</v>
      </c>
      <c r="H141" s="51" t="s">
        <v>106</v>
      </c>
      <c r="I141" s="50" t="str">
        <f ca="1">IF(AND($F141&lt;&gt;"",$F141&lt;$F$3,$H141&lt;&gt;"완료",$H141&lt;&gt;"삭제",$H141&lt;&gt;"보류",$H141&lt;&gt;""),"⚠ 마감 초과",IF(AND($F141&lt;&gt;"",$F141&gt;$F$3,$H141="완료"),"⚡ 미래 날짜 완료 이상",""))</f>
        <v/>
      </c>
      <c r="J141" s="50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72"/>
      <c r="EJ141" s="72"/>
      <c r="EK141" s="72"/>
      <c r="EL141" s="72"/>
      <c r="EM141" s="72"/>
      <c r="EN141" s="72"/>
      <c r="EO141" s="72"/>
      <c r="EP141" s="72"/>
      <c r="EQ141" s="72"/>
      <c r="ER141" s="72"/>
      <c r="ES141" s="72"/>
      <c r="ET141" s="72"/>
      <c r="EU141" s="72"/>
      <c r="EV141" s="72"/>
      <c r="EW141" s="72"/>
      <c r="EX141" s="72"/>
      <c r="EY141" s="72"/>
      <c r="EZ141" s="72"/>
      <c r="FA141" s="72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  <c r="FU141" s="72"/>
      <c r="FV141" s="72"/>
      <c r="FW141" s="72"/>
      <c r="FX141" s="72"/>
      <c r="FY141" s="72"/>
      <c r="FZ141" s="72"/>
      <c r="GA141" s="72"/>
      <c r="GB141" s="72"/>
      <c r="GC141" s="72"/>
      <c r="GD141" s="72"/>
      <c r="GE141" s="72"/>
      <c r="GF141" s="72"/>
      <c r="GG141" s="72"/>
      <c r="GH141" s="72"/>
      <c r="GI141" s="72"/>
      <c r="GJ141" s="72"/>
      <c r="GK141" s="72"/>
      <c r="GL141" s="72"/>
      <c r="GM141" s="72"/>
      <c r="GN141" s="72"/>
      <c r="GO141" s="72"/>
      <c r="GP141" s="72"/>
      <c r="GQ141" s="72"/>
      <c r="GR141" s="72"/>
      <c r="GS141" s="72"/>
      <c r="GT141" s="72"/>
      <c r="GU141" s="72"/>
      <c r="GV141" s="72"/>
      <c r="GW141" s="72"/>
      <c r="GX141" s="72"/>
      <c r="GY141" s="72"/>
      <c r="GZ141" s="72"/>
      <c r="HA141" s="72"/>
      <c r="HB141" s="72"/>
      <c r="HC141" s="72"/>
      <c r="HD141" s="72"/>
      <c r="HE141" s="72"/>
      <c r="HF141" s="72"/>
      <c r="HG141" s="72"/>
      <c r="HH141" s="72"/>
      <c r="HI141" s="72"/>
      <c r="HJ141" s="72"/>
      <c r="HK141" s="72"/>
      <c r="HL141" s="72"/>
      <c r="HM141" s="72"/>
    </row>
    <row r="142" spans="1:221" outlineLevel="1">
      <c r="A142" s="49" t="s">
        <v>359</v>
      </c>
      <c r="B142" s="50" t="s">
        <v>523</v>
      </c>
      <c r="C142" s="51" t="s">
        <v>88</v>
      </c>
      <c r="D142" s="51" t="s">
        <v>562</v>
      </c>
      <c r="E142" s="52">
        <v>46286</v>
      </c>
      <c r="F142" s="52">
        <v>46293</v>
      </c>
      <c r="G142" s="53">
        <f>IF(OR($H142="삭제",$H142="작업대기",$H142="보류"),0,IF($H142="완료",1,IFERROR(MIN(0.99,MAX(0,($F$3-$E142)/($F142-$E142))),0)))</f>
        <v>0</v>
      </c>
      <c r="H142" s="51" t="s">
        <v>106</v>
      </c>
      <c r="I142" s="50" t="str">
        <f ca="1">IF(AND($F142&lt;&gt;"",$F142&lt;$F$3,$H142&lt;&gt;"완료",$H142&lt;&gt;"삭제",$H142&lt;&gt;"보류",$H142&lt;&gt;""),"⚠ 마감 초과",IF(AND($F142&lt;&gt;"",$F142&gt;$F$3,$H142="완료"),"⚡ 미래 날짜 완료 이상",""))</f>
        <v/>
      </c>
      <c r="J142" s="50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72"/>
      <c r="EJ142" s="72"/>
      <c r="EK142" s="72"/>
      <c r="EL142" s="72"/>
      <c r="EM142" s="72"/>
      <c r="EN142" s="72"/>
      <c r="EO142" s="72"/>
      <c r="EP142" s="72"/>
      <c r="EQ142" s="72"/>
      <c r="ER142" s="72"/>
      <c r="ES142" s="72"/>
      <c r="ET142" s="72"/>
      <c r="EU142" s="72"/>
      <c r="EV142" s="72"/>
      <c r="EW142" s="72"/>
      <c r="EX142" s="72"/>
      <c r="EY142" s="72"/>
      <c r="EZ142" s="72"/>
      <c r="FA142" s="72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  <c r="FU142" s="72"/>
      <c r="FV142" s="72"/>
      <c r="FW142" s="72"/>
      <c r="FX142" s="72"/>
      <c r="FY142" s="72"/>
      <c r="FZ142" s="72"/>
      <c r="GA142" s="72"/>
      <c r="GB142" s="72"/>
      <c r="GC142" s="72"/>
      <c r="GD142" s="72"/>
      <c r="GE142" s="72"/>
      <c r="GF142" s="72"/>
      <c r="GG142" s="72"/>
      <c r="GH142" s="72"/>
      <c r="GI142" s="72"/>
      <c r="GJ142" s="72"/>
      <c r="GK142" s="72"/>
      <c r="GL142" s="72"/>
      <c r="GM142" s="72"/>
      <c r="GN142" s="72"/>
      <c r="GO142" s="72"/>
      <c r="GP142" s="72"/>
      <c r="GQ142" s="72"/>
      <c r="GR142" s="72"/>
      <c r="GS142" s="72"/>
      <c r="GT142" s="72"/>
      <c r="GU142" s="72"/>
      <c r="GV142" s="72"/>
      <c r="GW142" s="72"/>
      <c r="GX142" s="72"/>
      <c r="GY142" s="72"/>
      <c r="GZ142" s="72"/>
      <c r="HA142" s="72"/>
      <c r="HB142" s="72"/>
      <c r="HC142" s="72"/>
      <c r="HD142" s="72"/>
      <c r="HE142" s="72"/>
      <c r="HF142" s="72"/>
      <c r="HG142" s="72"/>
      <c r="HH142" s="72"/>
      <c r="HI142" s="72"/>
      <c r="HJ142" s="72"/>
      <c r="HK142" s="72"/>
      <c r="HL142" s="72"/>
      <c r="HM142" s="72"/>
    </row>
    <row r="143" spans="1:221" outlineLevel="1">
      <c r="A143" s="49" t="s">
        <v>360</v>
      </c>
      <c r="B143" s="50" t="s">
        <v>524</v>
      </c>
      <c r="C143" s="51" t="s">
        <v>88</v>
      </c>
      <c r="D143" s="51" t="s">
        <v>562</v>
      </c>
      <c r="E143" s="52">
        <v>46286</v>
      </c>
      <c r="F143" s="52">
        <v>46293</v>
      </c>
      <c r="G143" s="53">
        <f>IF(OR($H143="삭제",$H143="작업대기",$H143="보류"),0,IF($H143="완료",1,IFERROR(MIN(0.99,MAX(0,($F$3-$E143)/($F143-$E143))),0)))</f>
        <v>0</v>
      </c>
      <c r="H143" s="51" t="s">
        <v>106</v>
      </c>
      <c r="I143" s="50" t="str">
        <f ca="1">IF(AND($F143&lt;&gt;"",$F143&lt;$F$3,$H143&lt;&gt;"완료",$H143&lt;&gt;"삭제",$H143&lt;&gt;"보류",$H143&lt;&gt;""),"⚠ 마감 초과",IF(AND($F143&lt;&gt;"",$F143&gt;$F$3,$H143="완료"),"⚡ 미래 날짜 완료 이상",""))</f>
        <v/>
      </c>
      <c r="J143" s="50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72"/>
      <c r="EJ143" s="72"/>
      <c r="EK143" s="72"/>
      <c r="EL143" s="72"/>
      <c r="EM143" s="72"/>
      <c r="EN143" s="72"/>
      <c r="EO143" s="72"/>
      <c r="EP143" s="72"/>
      <c r="EQ143" s="72"/>
      <c r="ER143" s="72"/>
      <c r="ES143" s="72"/>
      <c r="ET143" s="72"/>
      <c r="EU143" s="72"/>
      <c r="EV143" s="72"/>
      <c r="EW143" s="72"/>
      <c r="EX143" s="72"/>
      <c r="EY143" s="72"/>
      <c r="EZ143" s="72"/>
      <c r="FA143" s="72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2"/>
      <c r="FV143" s="72"/>
      <c r="FW143" s="72"/>
      <c r="FX143" s="72"/>
      <c r="FY143" s="72"/>
      <c r="FZ143" s="72"/>
      <c r="GA143" s="72"/>
      <c r="GB143" s="72"/>
      <c r="GC143" s="72"/>
      <c r="GD143" s="72"/>
      <c r="GE143" s="72"/>
      <c r="GF143" s="72"/>
      <c r="GG143" s="72"/>
      <c r="GH143" s="72"/>
      <c r="GI143" s="72"/>
      <c r="GJ143" s="72"/>
      <c r="GK143" s="72"/>
      <c r="GL143" s="72"/>
      <c r="GM143" s="72"/>
      <c r="GN143" s="72"/>
      <c r="GO143" s="72"/>
      <c r="GP143" s="72"/>
      <c r="GQ143" s="72"/>
      <c r="GR143" s="72"/>
      <c r="GS143" s="72"/>
      <c r="GT143" s="72"/>
      <c r="GU143" s="72"/>
      <c r="GV143" s="72"/>
      <c r="GW143" s="72"/>
      <c r="GX143" s="72"/>
      <c r="GY143" s="72"/>
      <c r="GZ143" s="72"/>
      <c r="HA143" s="72"/>
      <c r="HB143" s="72"/>
      <c r="HC143" s="72"/>
      <c r="HD143" s="72"/>
      <c r="HE143" s="72"/>
      <c r="HF143" s="72"/>
      <c r="HG143" s="72"/>
      <c r="HH143" s="72"/>
      <c r="HI143" s="72"/>
      <c r="HJ143" s="72"/>
      <c r="HK143" s="72"/>
      <c r="HL143" s="72"/>
      <c r="HM143" s="72"/>
    </row>
    <row r="144" spans="1:221">
      <c r="A144" s="59" t="s">
        <v>556</v>
      </c>
      <c r="B144" s="60" t="s">
        <v>190</v>
      </c>
      <c r="C144" s="61"/>
      <c r="D144" s="61"/>
      <c r="E144" s="62">
        <f>IFERROR(IF(COUNT($E146:$E152)=0,"",_xlfn.MINIFS($E146:$E152,$C146:$C152,"&lt;&gt;",$H146:$H152,"&lt;&gt;삭제")),"")</f>
        <v>46153</v>
      </c>
      <c r="F144" s="62">
        <f>IFERROR(IF(COUNT($F146:$F152)=0,"",_xlfn.MAXIFS($F146:$F152,$C146:$C152,"&lt;&gt;",$H146:$H152,"&lt;&gt;삭제")),"")</f>
        <v>46155</v>
      </c>
      <c r="G144" s="63">
        <f>IFERROR(AVERAGEIFS(G145:G152,$C145:$C152,"&lt;&gt;",$H145:$H152,"&lt;&gt;삭제"),0)</f>
        <v>0.16666666666666666</v>
      </c>
      <c r="H144" s="61" t="str">
        <f>IF($G144&gt;=1,"완료",IF($G144&gt;0,"진행중","작업대기"))</f>
        <v>진행중</v>
      </c>
      <c r="I144" s="60"/>
      <c r="J144" s="75" t="s">
        <v>564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72"/>
      <c r="EJ144" s="72"/>
      <c r="EK144" s="72"/>
      <c r="EL144" s="72"/>
      <c r="EM144" s="72"/>
      <c r="EN144" s="72"/>
      <c r="EO144" s="72"/>
      <c r="EP144" s="72"/>
      <c r="EQ144" s="72"/>
      <c r="ER144" s="72"/>
      <c r="ES144" s="72"/>
      <c r="ET144" s="72"/>
      <c r="EU144" s="72"/>
      <c r="EV144" s="72"/>
      <c r="EW144" s="72"/>
      <c r="EX144" s="72"/>
      <c r="EY144" s="72"/>
      <c r="EZ144" s="72"/>
      <c r="FA144" s="72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  <c r="FU144" s="72"/>
      <c r="FV144" s="72"/>
      <c r="FW144" s="72"/>
      <c r="FX144" s="72"/>
      <c r="FY144" s="72"/>
      <c r="FZ144" s="72"/>
      <c r="GA144" s="72"/>
      <c r="GB144" s="72"/>
      <c r="GC144" s="72"/>
      <c r="GD144" s="72"/>
      <c r="GE144" s="72"/>
      <c r="GF144" s="72"/>
      <c r="GG144" s="72"/>
      <c r="GH144" s="72"/>
      <c r="GI144" s="72"/>
      <c r="GJ144" s="72"/>
      <c r="GK144" s="72"/>
      <c r="GL144" s="72"/>
      <c r="GM144" s="72"/>
      <c r="GN144" s="72"/>
      <c r="GO144" s="72"/>
      <c r="GP144" s="72"/>
      <c r="GQ144" s="72"/>
      <c r="GR144" s="72"/>
      <c r="GS144" s="72"/>
      <c r="GT144" s="72"/>
      <c r="GU144" s="72"/>
      <c r="GV144" s="72"/>
      <c r="GW144" s="72"/>
      <c r="GX144" s="72"/>
      <c r="GY144" s="72"/>
      <c r="GZ144" s="72"/>
      <c r="HA144" s="72"/>
      <c r="HB144" s="72"/>
      <c r="HC144" s="72"/>
      <c r="HD144" s="72"/>
      <c r="HE144" s="72"/>
      <c r="HF144" s="72"/>
      <c r="HG144" s="72"/>
      <c r="HH144" s="72"/>
      <c r="HI144" s="72"/>
      <c r="HJ144" s="72"/>
      <c r="HK144" s="72"/>
      <c r="HL144" s="72"/>
      <c r="HM144" s="72"/>
    </row>
    <row r="145" spans="1:221">
      <c r="A145" s="64" t="s">
        <v>557</v>
      </c>
      <c r="B145" s="65" t="s">
        <v>525</v>
      </c>
      <c r="C145" s="66"/>
      <c r="D145" s="66"/>
      <c r="E145" s="67">
        <f>IFERROR(IF(COUNT($E146:$E148)=0,"",_xlfn.MINIFS($E146:$E148,$C146:$C148,"&lt;&gt;",$H146:$H148,"&lt;&gt;삭제")),"")</f>
        <v>46153</v>
      </c>
      <c r="F145" s="67">
        <f>IFERROR(IF(COUNT($F146:$F148)=0,"",_xlfn.MAXIFS($F146:$F148,$C146:$C148,"&lt;&gt;",$H146:$H148,"&lt;&gt;삭제")),"")</f>
        <v>46155</v>
      </c>
      <c r="G145" s="68">
        <f>IFERROR(AVERAGEIFS(G146:G148,$C146:$C148,"&lt;&gt;",$H146:$H148,"&lt;&gt;삭제"),0)</f>
        <v>0.33333333333333331</v>
      </c>
      <c r="H145" s="66" t="str">
        <f>IF($G145&gt;=1,"완료",IF($G145&gt;0,"진행중","작업대기"))</f>
        <v>진행중</v>
      </c>
      <c r="I145" s="65"/>
      <c r="J145" s="75" t="s">
        <v>564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72"/>
      <c r="EJ145" s="72"/>
      <c r="EK145" s="72"/>
      <c r="EL145" s="72"/>
      <c r="EM145" s="72"/>
      <c r="EN145" s="72"/>
      <c r="EO145" s="72"/>
      <c r="EP145" s="72"/>
      <c r="EQ145" s="72"/>
      <c r="ER145" s="72"/>
      <c r="ES145" s="72"/>
      <c r="ET145" s="72"/>
      <c r="EU145" s="72"/>
      <c r="EV145" s="72"/>
      <c r="EW145" s="72"/>
      <c r="EX145" s="72"/>
      <c r="EY145" s="72"/>
      <c r="EZ145" s="72"/>
      <c r="FA145" s="72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  <c r="FU145" s="72"/>
      <c r="FV145" s="72"/>
      <c r="FW145" s="72"/>
      <c r="FX145" s="72"/>
      <c r="FY145" s="72"/>
      <c r="FZ145" s="72"/>
      <c r="GA145" s="72"/>
      <c r="GB145" s="72"/>
      <c r="GC145" s="72"/>
      <c r="GD145" s="72"/>
      <c r="GE145" s="72"/>
      <c r="GF145" s="72"/>
      <c r="GG145" s="72"/>
      <c r="GH145" s="72"/>
      <c r="GI145" s="72"/>
      <c r="GJ145" s="72"/>
      <c r="GK145" s="72"/>
      <c r="GL145" s="72"/>
      <c r="GM145" s="72"/>
      <c r="GN145" s="72"/>
      <c r="GO145" s="72"/>
      <c r="GP145" s="72"/>
      <c r="GQ145" s="72"/>
      <c r="GR145" s="72"/>
      <c r="GS145" s="72"/>
      <c r="GT145" s="72"/>
      <c r="GU145" s="72"/>
      <c r="GV145" s="72"/>
      <c r="GW145" s="72"/>
      <c r="GX145" s="72"/>
      <c r="GY145" s="72"/>
      <c r="GZ145" s="72"/>
      <c r="HA145" s="72"/>
      <c r="HB145" s="72"/>
      <c r="HC145" s="72"/>
      <c r="HD145" s="72"/>
      <c r="HE145" s="72"/>
      <c r="HF145" s="72"/>
      <c r="HG145" s="72"/>
      <c r="HH145" s="72"/>
      <c r="HI145" s="72"/>
      <c r="HJ145" s="72"/>
      <c r="HK145" s="72"/>
      <c r="HL145" s="72"/>
      <c r="HM145" s="72"/>
    </row>
    <row r="146" spans="1:221" outlineLevel="1">
      <c r="A146" s="49" t="s">
        <v>361</v>
      </c>
      <c r="B146" s="50" t="s">
        <v>526</v>
      </c>
      <c r="C146" s="51" t="s">
        <v>75</v>
      </c>
      <c r="D146" s="51"/>
      <c r="E146" s="52">
        <v>46153</v>
      </c>
      <c r="F146" s="52">
        <v>46155</v>
      </c>
      <c r="G146" s="53">
        <f>IF(OR($H146="삭제",$H146="작업대기",$H146="보류"),0,IF($H146="완료",1,IFERROR(MIN(0.99,MAX(0,($F$3-$E146)/($F146-$E146))),0)))</f>
        <v>1</v>
      </c>
      <c r="H146" s="51" t="s">
        <v>78</v>
      </c>
      <c r="I146" s="50" t="str">
        <f ca="1">IF(AND($F146&lt;&gt;"",$F146&lt;$F$3,$H146&lt;&gt;"완료",$H146&lt;&gt;"삭제",$H146&lt;&gt;"보류",$H146&lt;&gt;""),"⚠ 마감 초과",IF(AND($F146&lt;&gt;"",$F146&gt;$F$3,$H146="완료"),"⚡ 미래 날짜 완료 이상",""))</f>
        <v/>
      </c>
      <c r="J146" s="50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/>
      <c r="ED146" s="72"/>
      <c r="EE146" s="72"/>
      <c r="EF146" s="72"/>
      <c r="EG146" s="72"/>
      <c r="EH146" s="72"/>
      <c r="EI146" s="72"/>
      <c r="EJ146" s="72"/>
      <c r="EK146" s="72"/>
      <c r="EL146" s="72"/>
      <c r="EM146" s="72"/>
      <c r="EN146" s="72"/>
      <c r="EO146" s="72"/>
      <c r="EP146" s="72"/>
      <c r="EQ146" s="72"/>
      <c r="ER146" s="72"/>
      <c r="ES146" s="72"/>
      <c r="ET146" s="72"/>
      <c r="EU146" s="72"/>
      <c r="EV146" s="72"/>
      <c r="EW146" s="72"/>
      <c r="EX146" s="72"/>
      <c r="EY146" s="72"/>
      <c r="EZ146" s="72"/>
      <c r="FA146" s="72"/>
      <c r="FB146" s="72"/>
      <c r="FC146" s="72"/>
      <c r="FD146" s="72"/>
      <c r="FE146" s="72"/>
      <c r="FF146" s="72"/>
      <c r="FG146" s="72"/>
      <c r="FH146" s="72"/>
      <c r="FI146" s="72"/>
      <c r="FJ146" s="72"/>
      <c r="FK146" s="72"/>
      <c r="FL146" s="72"/>
      <c r="FM146" s="72"/>
      <c r="FN146" s="72"/>
      <c r="FO146" s="72"/>
      <c r="FP146" s="72"/>
      <c r="FQ146" s="72"/>
      <c r="FR146" s="72"/>
      <c r="FS146" s="72"/>
      <c r="FT146" s="72"/>
      <c r="FU146" s="72"/>
      <c r="FV146" s="72"/>
      <c r="FW146" s="72"/>
      <c r="FX146" s="72"/>
      <c r="FY146" s="72"/>
      <c r="FZ146" s="72"/>
      <c r="GA146" s="72"/>
      <c r="GB146" s="72"/>
      <c r="GC146" s="72"/>
      <c r="GD146" s="72"/>
      <c r="GE146" s="72"/>
      <c r="GF146" s="72"/>
      <c r="GG146" s="72"/>
      <c r="GH146" s="72"/>
      <c r="GI146" s="72"/>
      <c r="GJ146" s="72"/>
      <c r="GK146" s="72"/>
      <c r="GL146" s="72"/>
      <c r="GM146" s="72"/>
      <c r="GN146" s="72"/>
      <c r="GO146" s="72"/>
      <c r="GP146" s="72"/>
      <c r="GQ146" s="72"/>
      <c r="GR146" s="72"/>
      <c r="GS146" s="72"/>
      <c r="GT146" s="72"/>
      <c r="GU146" s="72"/>
      <c r="GV146" s="72"/>
      <c r="GW146" s="72"/>
      <c r="GX146" s="72"/>
      <c r="GY146" s="72"/>
      <c r="GZ146" s="72"/>
      <c r="HA146" s="72"/>
      <c r="HB146" s="72"/>
      <c r="HC146" s="72"/>
      <c r="HD146" s="72"/>
      <c r="HE146" s="72"/>
      <c r="HF146" s="72"/>
      <c r="HG146" s="72"/>
      <c r="HH146" s="72"/>
      <c r="HI146" s="72"/>
      <c r="HJ146" s="72"/>
      <c r="HK146" s="72"/>
      <c r="HL146" s="72"/>
      <c r="HM146" s="72"/>
    </row>
    <row r="147" spans="1:221" outlineLevel="1">
      <c r="A147" s="49" t="s">
        <v>362</v>
      </c>
      <c r="B147" s="50" t="s">
        <v>527</v>
      </c>
      <c r="C147" s="51" t="s">
        <v>75</v>
      </c>
      <c r="D147" s="51"/>
      <c r="E147" s="62"/>
      <c r="F147" s="62"/>
      <c r="G147" s="53">
        <f>IF(OR($H147="삭제",$H147="작업대기",$H147="보류"),0,IF($H147="완료",1,IFERROR(MIN(0.99,MAX(0,($F$3-$E147)/($F147-$E147))),0)))</f>
        <v>0</v>
      </c>
      <c r="H147" s="51" t="s">
        <v>106</v>
      </c>
      <c r="I147" s="50" t="str">
        <f ca="1">IF(AND($F147&lt;&gt;"",$F147&lt;$F$3,$H147&lt;&gt;"완료",$H147&lt;&gt;"삭제",$H147&lt;&gt;"보류",$H147&lt;&gt;""),"⚠ 마감 초과",IF(AND($F147&lt;&gt;"",$F147&gt;$F$3,$H147="완료"),"⚡ 미래 날짜 완료 이상",""))</f>
        <v/>
      </c>
      <c r="J147" s="50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72"/>
      <c r="EJ147" s="72"/>
      <c r="EK147" s="72"/>
      <c r="EL147" s="72"/>
      <c r="EM147" s="72"/>
      <c r="EN147" s="72"/>
      <c r="EO147" s="72"/>
      <c r="EP147" s="72"/>
      <c r="EQ147" s="72"/>
      <c r="ER147" s="72"/>
      <c r="ES147" s="72"/>
      <c r="ET147" s="72"/>
      <c r="EU147" s="72"/>
      <c r="EV147" s="72"/>
      <c r="EW147" s="72"/>
      <c r="EX147" s="72"/>
      <c r="EY147" s="72"/>
      <c r="EZ147" s="72"/>
      <c r="FA147" s="72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  <c r="FU147" s="72"/>
      <c r="FV147" s="72"/>
      <c r="FW147" s="72"/>
      <c r="FX147" s="72"/>
      <c r="FY147" s="72"/>
      <c r="FZ147" s="72"/>
      <c r="GA147" s="72"/>
      <c r="GB147" s="72"/>
      <c r="GC147" s="72"/>
      <c r="GD147" s="72"/>
      <c r="GE147" s="72"/>
      <c r="GF147" s="72"/>
      <c r="GG147" s="72"/>
      <c r="GH147" s="72"/>
      <c r="GI147" s="72"/>
      <c r="GJ147" s="72"/>
      <c r="GK147" s="72"/>
      <c r="GL147" s="72"/>
      <c r="GM147" s="72"/>
      <c r="GN147" s="72"/>
      <c r="GO147" s="72"/>
      <c r="GP147" s="72"/>
      <c r="GQ147" s="72"/>
      <c r="GR147" s="72"/>
      <c r="GS147" s="72"/>
      <c r="GT147" s="72"/>
      <c r="GU147" s="72"/>
      <c r="GV147" s="72"/>
      <c r="GW147" s="72"/>
      <c r="GX147" s="72"/>
      <c r="GY147" s="72"/>
      <c r="GZ147" s="72"/>
      <c r="HA147" s="72"/>
      <c r="HB147" s="72"/>
      <c r="HC147" s="72"/>
      <c r="HD147" s="72"/>
      <c r="HE147" s="72"/>
      <c r="HF147" s="72"/>
      <c r="HG147" s="72"/>
      <c r="HH147" s="72"/>
      <c r="HI147" s="72"/>
      <c r="HJ147" s="72"/>
      <c r="HK147" s="72"/>
      <c r="HL147" s="72"/>
      <c r="HM147" s="72"/>
    </row>
    <row r="148" spans="1:221" outlineLevel="1">
      <c r="A148" s="49" t="s">
        <v>363</v>
      </c>
      <c r="B148" s="50" t="s">
        <v>528</v>
      </c>
      <c r="C148" s="51" t="s">
        <v>75</v>
      </c>
      <c r="D148" s="51"/>
      <c r="E148" s="62"/>
      <c r="F148" s="62"/>
      <c r="G148" s="53">
        <f>IF(OR($H148="삭제",$H148="작업대기",$H148="보류"),0,IF($H148="완료",1,IFERROR(MIN(0.99,MAX(0,($F$3-$E148)/($F148-$E148))),0)))</f>
        <v>0</v>
      </c>
      <c r="H148" s="51" t="s">
        <v>106</v>
      </c>
      <c r="I148" s="50" t="str">
        <f ca="1">IF(AND($F148&lt;&gt;"",$F148&lt;$F$3,$H148&lt;&gt;"완료",$H148&lt;&gt;"삭제",$H148&lt;&gt;"보류",$H148&lt;&gt;""),"⚠ 마감 초과",IF(AND($F148&lt;&gt;"",$F148&gt;$F$3,$H148="완료"),"⚡ 미래 날짜 완료 이상",""))</f>
        <v/>
      </c>
      <c r="J148" s="50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  <c r="DY148" s="72"/>
      <c r="DZ148" s="72"/>
      <c r="EA148" s="72"/>
      <c r="EB148" s="72"/>
      <c r="EC148" s="72"/>
      <c r="ED148" s="72"/>
      <c r="EE148" s="72"/>
      <c r="EF148" s="72"/>
      <c r="EG148" s="72"/>
      <c r="EH148" s="72"/>
      <c r="EI148" s="72"/>
      <c r="EJ148" s="72"/>
      <c r="EK148" s="72"/>
      <c r="EL148" s="72"/>
      <c r="EM148" s="72"/>
      <c r="EN148" s="72"/>
      <c r="EO148" s="72"/>
      <c r="EP148" s="72"/>
      <c r="EQ148" s="72"/>
      <c r="ER148" s="72"/>
      <c r="ES148" s="72"/>
      <c r="ET148" s="72"/>
      <c r="EU148" s="72"/>
      <c r="EV148" s="72"/>
      <c r="EW148" s="72"/>
      <c r="EX148" s="72"/>
      <c r="EY148" s="72"/>
      <c r="EZ148" s="72"/>
      <c r="FA148" s="72"/>
      <c r="FB148" s="72"/>
      <c r="FC148" s="72"/>
      <c r="FD148" s="72"/>
      <c r="FE148" s="72"/>
      <c r="FF148" s="72"/>
      <c r="FG148" s="72"/>
      <c r="FH148" s="72"/>
      <c r="FI148" s="72"/>
      <c r="FJ148" s="72"/>
      <c r="FK148" s="72"/>
      <c r="FL148" s="72"/>
      <c r="FM148" s="72"/>
      <c r="FN148" s="72"/>
      <c r="FO148" s="72"/>
      <c r="FP148" s="72"/>
      <c r="FQ148" s="72"/>
      <c r="FR148" s="72"/>
      <c r="FS148" s="72"/>
      <c r="FT148" s="72"/>
      <c r="FU148" s="72"/>
      <c r="FV148" s="72"/>
      <c r="FW148" s="72"/>
      <c r="FX148" s="72"/>
      <c r="FY148" s="72"/>
      <c r="FZ148" s="72"/>
      <c r="GA148" s="72"/>
      <c r="GB148" s="72"/>
      <c r="GC148" s="72"/>
      <c r="GD148" s="72"/>
      <c r="GE148" s="72"/>
      <c r="GF148" s="72"/>
      <c r="GG148" s="72"/>
      <c r="GH148" s="72"/>
      <c r="GI148" s="72"/>
      <c r="GJ148" s="72"/>
      <c r="GK148" s="72"/>
      <c r="GL148" s="72"/>
      <c r="GM148" s="72"/>
      <c r="GN148" s="72"/>
      <c r="GO148" s="72"/>
      <c r="GP148" s="72"/>
      <c r="GQ148" s="72"/>
      <c r="GR148" s="72"/>
      <c r="GS148" s="72"/>
      <c r="GT148" s="72"/>
      <c r="GU148" s="72"/>
      <c r="GV148" s="72"/>
      <c r="GW148" s="72"/>
      <c r="GX148" s="72"/>
      <c r="GY148" s="72"/>
      <c r="GZ148" s="72"/>
      <c r="HA148" s="72"/>
      <c r="HB148" s="72"/>
      <c r="HC148" s="72"/>
      <c r="HD148" s="72"/>
      <c r="HE148" s="72"/>
      <c r="HF148" s="72"/>
      <c r="HG148" s="72"/>
      <c r="HH148" s="72"/>
      <c r="HI148" s="72"/>
      <c r="HJ148" s="72"/>
      <c r="HK148" s="72"/>
      <c r="HL148" s="72"/>
      <c r="HM148" s="72"/>
    </row>
    <row r="149" spans="1:221">
      <c r="A149" s="64" t="s">
        <v>558</v>
      </c>
      <c r="B149" s="65" t="s">
        <v>529</v>
      </c>
      <c r="C149" s="66"/>
      <c r="D149" s="66"/>
      <c r="E149" s="67"/>
      <c r="F149" s="67"/>
      <c r="G149" s="68">
        <f>IFERROR(AVERAGEIFS(G150:G152,$C150:$C152,"&lt;&gt;",$H150:$H152,"&lt;&gt;삭제"),0)</f>
        <v>0</v>
      </c>
      <c r="H149" s="66" t="str">
        <f>IF($G149&gt;=1,"완료",IF($G149&gt;0,"진행중","작업대기"))</f>
        <v>작업대기</v>
      </c>
      <c r="I149" s="65"/>
      <c r="J149" s="65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72"/>
      <c r="EJ149" s="72"/>
      <c r="EK149" s="72"/>
      <c r="EL149" s="72"/>
      <c r="EM149" s="72"/>
      <c r="EN149" s="72"/>
      <c r="EO149" s="72"/>
      <c r="EP149" s="72"/>
      <c r="EQ149" s="72"/>
      <c r="ER149" s="72"/>
      <c r="ES149" s="72"/>
      <c r="ET149" s="72"/>
      <c r="EU149" s="72"/>
      <c r="EV149" s="72"/>
      <c r="EW149" s="72"/>
      <c r="EX149" s="72"/>
      <c r="EY149" s="72"/>
      <c r="EZ149" s="72"/>
      <c r="FA149" s="72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  <c r="FU149" s="72"/>
      <c r="FV149" s="72"/>
      <c r="FW149" s="72"/>
      <c r="FX149" s="72"/>
      <c r="FY149" s="72"/>
      <c r="FZ149" s="72"/>
      <c r="GA149" s="72"/>
      <c r="GB149" s="72"/>
      <c r="GC149" s="72"/>
      <c r="GD149" s="72"/>
      <c r="GE149" s="72"/>
      <c r="GF149" s="72"/>
      <c r="GG149" s="72"/>
      <c r="GH149" s="72"/>
      <c r="GI149" s="72"/>
      <c r="GJ149" s="72"/>
      <c r="GK149" s="72"/>
      <c r="GL149" s="72"/>
      <c r="GM149" s="72"/>
      <c r="GN149" s="72"/>
      <c r="GO149" s="72"/>
      <c r="GP149" s="72"/>
      <c r="GQ149" s="72"/>
      <c r="GR149" s="72"/>
      <c r="GS149" s="72"/>
      <c r="GT149" s="72"/>
      <c r="GU149" s="72"/>
      <c r="GV149" s="72"/>
      <c r="GW149" s="72"/>
      <c r="GX149" s="72"/>
      <c r="GY149" s="72"/>
      <c r="GZ149" s="72"/>
      <c r="HA149" s="72"/>
      <c r="HB149" s="72"/>
      <c r="HC149" s="72"/>
      <c r="HD149" s="72"/>
      <c r="HE149" s="72"/>
      <c r="HF149" s="72"/>
      <c r="HG149" s="72"/>
      <c r="HH149" s="72"/>
      <c r="HI149" s="72"/>
      <c r="HJ149" s="72"/>
      <c r="HK149" s="72"/>
      <c r="HL149" s="72"/>
      <c r="HM149" s="72"/>
    </row>
    <row r="150" spans="1:221" outlineLevel="1">
      <c r="A150" s="49" t="s">
        <v>364</v>
      </c>
      <c r="B150" s="50" t="s">
        <v>530</v>
      </c>
      <c r="C150" s="51" t="s">
        <v>75</v>
      </c>
      <c r="D150" s="51"/>
      <c r="E150" s="62"/>
      <c r="F150" s="62"/>
      <c r="G150" s="53">
        <f>IF(OR($H150="삭제",$H150="작업대기",$H150="보류"),0,IF($H150="완료",1,IFERROR(MIN(0.99,MAX(0,($F$3-$E150)/($F150-$E150))),0)))</f>
        <v>0</v>
      </c>
      <c r="H150" s="51" t="s">
        <v>106</v>
      </c>
      <c r="I150" s="50" t="str">
        <f ca="1">IF(AND($F150&lt;&gt;"",$F150&lt;$F$3,$H150&lt;&gt;"완료",$H150&lt;&gt;"삭제",$H150&lt;&gt;"보류",$H150&lt;&gt;""),"⚠ 마감 초과",IF(AND($F150&lt;&gt;"",$F150&gt;$F$3,$H150="완료"),"⚡ 미래 날짜 완료 이상",""))</f>
        <v/>
      </c>
      <c r="J150" s="50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72"/>
      <c r="EJ150" s="72"/>
      <c r="EK150" s="72"/>
      <c r="EL150" s="72"/>
      <c r="EM150" s="72"/>
      <c r="EN150" s="72"/>
      <c r="EO150" s="72"/>
      <c r="EP150" s="72"/>
      <c r="EQ150" s="72"/>
      <c r="ER150" s="72"/>
      <c r="ES150" s="72"/>
      <c r="ET150" s="72"/>
      <c r="EU150" s="72"/>
      <c r="EV150" s="72"/>
      <c r="EW150" s="72"/>
      <c r="EX150" s="72"/>
      <c r="EY150" s="72"/>
      <c r="EZ150" s="72"/>
      <c r="FA150" s="72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  <c r="FU150" s="72"/>
      <c r="FV150" s="72"/>
      <c r="FW150" s="72"/>
      <c r="FX150" s="72"/>
      <c r="FY150" s="72"/>
      <c r="FZ150" s="72"/>
      <c r="GA150" s="72"/>
      <c r="GB150" s="72"/>
      <c r="GC150" s="72"/>
      <c r="GD150" s="72"/>
      <c r="GE150" s="72"/>
      <c r="GF150" s="72"/>
      <c r="GG150" s="72"/>
      <c r="GH150" s="72"/>
      <c r="GI150" s="72"/>
      <c r="GJ150" s="72"/>
      <c r="GK150" s="72"/>
      <c r="GL150" s="72"/>
      <c r="GM150" s="72"/>
      <c r="GN150" s="72"/>
      <c r="GO150" s="72"/>
      <c r="GP150" s="72"/>
      <c r="GQ150" s="72"/>
      <c r="GR150" s="72"/>
      <c r="GS150" s="72"/>
      <c r="GT150" s="72"/>
      <c r="GU150" s="72"/>
      <c r="GV150" s="72"/>
      <c r="GW150" s="72"/>
      <c r="GX150" s="72"/>
      <c r="GY150" s="72"/>
      <c r="GZ150" s="72"/>
      <c r="HA150" s="72"/>
      <c r="HB150" s="72"/>
      <c r="HC150" s="72"/>
      <c r="HD150" s="72"/>
      <c r="HE150" s="72"/>
      <c r="HF150" s="72"/>
      <c r="HG150" s="72"/>
      <c r="HH150" s="72"/>
      <c r="HI150" s="72"/>
      <c r="HJ150" s="72"/>
      <c r="HK150" s="72"/>
      <c r="HL150" s="72"/>
      <c r="HM150" s="72"/>
    </row>
    <row r="151" spans="1:221" outlineLevel="1">
      <c r="A151" s="49" t="s">
        <v>365</v>
      </c>
      <c r="B151" s="50" t="s">
        <v>531</v>
      </c>
      <c r="C151" s="51" t="s">
        <v>88</v>
      </c>
      <c r="D151" s="51" t="s">
        <v>562</v>
      </c>
      <c r="E151" s="62"/>
      <c r="F151" s="62"/>
      <c r="G151" s="53">
        <f>IF(OR($H151="삭제",$H151="작업대기",$H151="보류"),0,IF($H151="완료",1,IFERROR(MIN(0.99,MAX(0,($F$3-$E151)/($F151-$E151))),0)))</f>
        <v>0</v>
      </c>
      <c r="H151" s="51" t="s">
        <v>106</v>
      </c>
      <c r="I151" s="50" t="str">
        <f ca="1">IF(AND($F151&lt;&gt;"",$F151&lt;$F$3,$H151&lt;&gt;"완료",$H151&lt;&gt;"삭제",$H151&lt;&gt;"보류",$H151&lt;&gt;""),"⚠ 마감 초과",IF(AND($F151&lt;&gt;"",$F151&gt;$F$3,$H151="완료"),"⚡ 미래 날짜 완료 이상",""))</f>
        <v/>
      </c>
      <c r="J151" s="50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2"/>
      <c r="EB151" s="72"/>
      <c r="EC151" s="72"/>
      <c r="ED151" s="72"/>
      <c r="EE151" s="72"/>
      <c r="EF151" s="72"/>
      <c r="EG151" s="72"/>
      <c r="EH151" s="72"/>
      <c r="EI151" s="72"/>
      <c r="EJ151" s="72"/>
      <c r="EK151" s="72"/>
      <c r="EL151" s="72"/>
      <c r="EM151" s="72"/>
      <c r="EN151" s="72"/>
      <c r="EO151" s="72"/>
      <c r="EP151" s="72"/>
      <c r="EQ151" s="72"/>
      <c r="ER151" s="72"/>
      <c r="ES151" s="72"/>
      <c r="ET151" s="72"/>
      <c r="EU151" s="72"/>
      <c r="EV151" s="72"/>
      <c r="EW151" s="72"/>
      <c r="EX151" s="72"/>
      <c r="EY151" s="72"/>
      <c r="EZ151" s="72"/>
      <c r="FA151" s="72"/>
      <c r="FB151" s="72"/>
      <c r="FC151" s="72"/>
      <c r="FD151" s="72"/>
      <c r="FE151" s="72"/>
      <c r="FF151" s="72"/>
      <c r="FG151" s="72"/>
      <c r="FH151" s="72"/>
      <c r="FI151" s="72"/>
      <c r="FJ151" s="72"/>
      <c r="FK151" s="72"/>
      <c r="FL151" s="72"/>
      <c r="FM151" s="72"/>
      <c r="FN151" s="72"/>
      <c r="FO151" s="72"/>
      <c r="FP151" s="72"/>
      <c r="FQ151" s="72"/>
      <c r="FR151" s="72"/>
      <c r="FS151" s="72"/>
      <c r="FT151" s="72"/>
      <c r="FU151" s="72"/>
      <c r="FV151" s="72"/>
      <c r="FW151" s="72"/>
      <c r="FX151" s="72"/>
      <c r="FY151" s="72"/>
      <c r="FZ151" s="72"/>
      <c r="GA151" s="72"/>
      <c r="GB151" s="72"/>
      <c r="GC151" s="72"/>
      <c r="GD151" s="72"/>
      <c r="GE151" s="72"/>
      <c r="GF151" s="72"/>
      <c r="GG151" s="72"/>
      <c r="GH151" s="72"/>
      <c r="GI151" s="72"/>
      <c r="GJ151" s="72"/>
      <c r="GK151" s="72"/>
      <c r="GL151" s="72"/>
      <c r="GM151" s="72"/>
      <c r="GN151" s="72"/>
      <c r="GO151" s="72"/>
      <c r="GP151" s="72"/>
      <c r="GQ151" s="72"/>
      <c r="GR151" s="72"/>
      <c r="GS151" s="72"/>
      <c r="GT151" s="72"/>
      <c r="GU151" s="72"/>
      <c r="GV151" s="72"/>
      <c r="GW151" s="72"/>
      <c r="GX151" s="72"/>
      <c r="GY151" s="72"/>
      <c r="GZ151" s="72"/>
      <c r="HA151" s="72"/>
      <c r="HB151" s="72"/>
      <c r="HC151" s="72"/>
      <c r="HD151" s="72"/>
      <c r="HE151" s="72"/>
      <c r="HF151" s="72"/>
      <c r="HG151" s="72"/>
      <c r="HH151" s="72"/>
      <c r="HI151" s="72"/>
      <c r="HJ151" s="72"/>
      <c r="HK151" s="72"/>
      <c r="HL151" s="72"/>
      <c r="HM151" s="72"/>
    </row>
    <row r="152" spans="1:221" outlineLevel="1">
      <c r="A152" s="49" t="s">
        <v>366</v>
      </c>
      <c r="B152" s="50" t="s">
        <v>532</v>
      </c>
      <c r="C152" s="51" t="s">
        <v>75</v>
      </c>
      <c r="D152" s="51"/>
      <c r="E152" s="62"/>
      <c r="F152" s="62"/>
      <c r="G152" s="53">
        <f>IF(OR($H152="삭제",$H152="작업대기",$H152="보류"),0,IF($H152="완료",1,IFERROR(MIN(0.99,MAX(0,($F$3-$E152)/($F152-$E152))),0)))</f>
        <v>0</v>
      </c>
      <c r="H152" s="51" t="s">
        <v>106</v>
      </c>
      <c r="I152" s="50" t="str">
        <f ca="1">IF(AND($F152&lt;&gt;"",$F152&lt;$F$3,$H152&lt;&gt;"완료",$H152&lt;&gt;"삭제",$H152&lt;&gt;"보류",$H152&lt;&gt;""),"⚠ 마감 초과",IF(AND($F152&lt;&gt;"",$F152&gt;$F$3,$H152="완료"),"⚡ 미래 날짜 완료 이상",""))</f>
        <v/>
      </c>
      <c r="J152" s="50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72"/>
      <c r="EJ152" s="72"/>
      <c r="EK152" s="72"/>
      <c r="EL152" s="72"/>
      <c r="EM152" s="72"/>
      <c r="EN152" s="72"/>
      <c r="EO152" s="72"/>
      <c r="EP152" s="72"/>
      <c r="EQ152" s="72"/>
      <c r="ER152" s="72"/>
      <c r="ES152" s="72"/>
      <c r="ET152" s="72"/>
      <c r="EU152" s="72"/>
      <c r="EV152" s="72"/>
      <c r="EW152" s="72"/>
      <c r="EX152" s="72"/>
      <c r="EY152" s="72"/>
      <c r="EZ152" s="72"/>
      <c r="FA152" s="72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  <c r="FU152" s="72"/>
      <c r="FV152" s="72"/>
      <c r="FW152" s="72"/>
      <c r="FX152" s="72"/>
      <c r="FY152" s="72"/>
      <c r="FZ152" s="72"/>
      <c r="GA152" s="72"/>
      <c r="GB152" s="72"/>
      <c r="GC152" s="72"/>
      <c r="GD152" s="72"/>
      <c r="GE152" s="72"/>
      <c r="GF152" s="72"/>
      <c r="GG152" s="72"/>
      <c r="GH152" s="72"/>
      <c r="GI152" s="72"/>
      <c r="GJ152" s="72"/>
      <c r="GK152" s="72"/>
      <c r="GL152" s="72"/>
      <c r="GM152" s="72"/>
      <c r="GN152" s="72"/>
      <c r="GO152" s="72"/>
      <c r="GP152" s="72"/>
      <c r="GQ152" s="72"/>
      <c r="GR152" s="72"/>
      <c r="GS152" s="72"/>
      <c r="GT152" s="72"/>
      <c r="GU152" s="72"/>
      <c r="GV152" s="72"/>
      <c r="GW152" s="72"/>
      <c r="GX152" s="72"/>
      <c r="GY152" s="72"/>
      <c r="GZ152" s="72"/>
      <c r="HA152" s="72"/>
      <c r="HB152" s="72"/>
      <c r="HC152" s="72"/>
      <c r="HD152" s="72"/>
      <c r="HE152" s="72"/>
      <c r="HF152" s="72"/>
      <c r="HG152" s="72"/>
      <c r="HH152" s="72"/>
      <c r="HI152" s="72"/>
      <c r="HJ152" s="72"/>
      <c r="HK152" s="72"/>
      <c r="HL152" s="72"/>
      <c r="HM152" s="72"/>
    </row>
  </sheetData>
  <mergeCells count="1">
    <mergeCell ref="A1:J1"/>
  </mergeCells>
  <phoneticPr fontId="7" type="noConversion"/>
  <conditionalFormatting sqref="A88:D89 F88:J89 A90:J90 A91:D91 F91:J91 A10:J87 A92:J182">
    <cfRule type="expression" dxfId="34" priority="117">
      <formula>$H10="진행중"</formula>
    </cfRule>
  </conditionalFormatting>
  <conditionalFormatting sqref="F88:J89 A90:J90 F91:J91 A88:D89 A91:D91 A10:J87 A92:J182">
    <cfRule type="expression" dxfId="33" priority="115">
      <formula>$H10="완료"</formula>
    </cfRule>
  </conditionalFormatting>
  <conditionalFormatting sqref="E89">
    <cfRule type="expression" dxfId="32" priority="1">
      <formula>$H89="완료"</formula>
    </cfRule>
    <cfRule type="expression" dxfId="31" priority="2">
      <formula>$H89="진행중"</formula>
    </cfRule>
  </conditionalFormatting>
  <conditionalFormatting sqref="G10:G182">
    <cfRule type="dataBar" priority="119">
      <dataBar>
        <cfvo type="num" val="0"/>
        <cfvo type="num" val="1"/>
        <color rgb="FF9BB7D4"/>
      </dataBar>
      <extLst>
        <ext xmlns:x14="http://schemas.microsoft.com/office/spreadsheetml/2009/9/main" uri="{B025F937-C7B1-47D3-B67F-A62EFF666E3E}">
          <x14:id>{850A8964-9C12-0D4C-9A0D-4B6E665776DD}</x14:id>
        </ext>
      </extLst>
    </cfRule>
  </conditionalFormatting>
  <conditionalFormatting sqref="I10:I182">
    <cfRule type="containsText" dxfId="30" priority="111" operator="containsText" text="마감 초과">
      <formula>NOT(ISERROR(SEARCH("마감 초과",I10)))</formula>
    </cfRule>
    <cfRule type="containsText" dxfId="29" priority="113" operator="containsText" text="미래">
      <formula>NOT(ISERROR(SEARCH("미래",I10)))</formula>
    </cfRule>
  </conditionalFormatting>
  <conditionalFormatting sqref="L7:HM9">
    <cfRule type="expression" dxfId="28" priority="147" stopIfTrue="1">
      <formula>AND(ROW()=8,L$7=$F$3)</formula>
    </cfRule>
    <cfRule type="expression" dxfId="27" priority="149" stopIfTrue="1">
      <formula>OR(WEEKDAY(L$7,2)=6,WEEKDAY(L$7,2)=7)</formula>
    </cfRule>
    <cfRule type="expression" dxfId="26" priority="151">
      <formula>L$9="Y"</formula>
    </cfRule>
  </conditionalFormatting>
  <conditionalFormatting sqref="L10:HM87 L90:HM182">
    <cfRule type="expression" dxfId="25" priority="169" stopIfTrue="1">
      <formula>AND($C10="FE",$E10&lt;&gt;"",$J10&lt;&gt;"막대숨김",L$7&gt;=$E10,L$7&lt;=$F10,$H10&lt;&gt;"삭제")</formula>
    </cfRule>
    <cfRule type="expression" dxfId="24" priority="157" stopIfTrue="1">
      <formula>AND($C10="",$E10&lt;&gt;"",$J10&lt;&gt;"막대숨김",L$7&gt;=$E10,L$7&lt;=$F10,$H10&lt;&gt;"삭제",OR($H10="완료",AND($H10="진행중",L$7=$E10)))</formula>
    </cfRule>
    <cfRule type="expression" dxfId="23" priority="159" stopIfTrue="1">
      <formula>AND($C10="BE",$E10&lt;&gt;"",$J10&lt;&gt;"막대숨김",L$7&gt;=$E10,L$7&lt;=$F10,$H10&lt;&gt;"삭제",OR($H10="완료",AND($H10="진행중",L$7=$E10)))</formula>
    </cfRule>
    <cfRule type="expression" dxfId="22" priority="161" stopIfTrue="1">
      <formula>AND($C10="FE",$E10&lt;&gt;"",$J10&lt;&gt;"막대숨김",L$7&gt;=$E10,L$7&lt;=$F10,$H10&lt;&gt;"삭제",OR($H10="완료",AND($H10="진행중",L$7=$E10)))</formula>
    </cfRule>
    <cfRule type="expression" dxfId="21" priority="163" stopIfTrue="1">
      <formula>AND($C10="공통",$E10&lt;&gt;"",$J10&lt;&gt;"막대숨김",L$7&gt;=$E10,L$7&lt;=$F10,$H10&lt;&gt;"삭제",OR($H10="완료",AND($H10="진행중",L$7=$E10)))</formula>
    </cfRule>
    <cfRule type="expression" dxfId="20" priority="165" stopIfTrue="1">
      <formula>AND($C10="",$E10&lt;&gt;"",$J10&lt;&gt;"막대숨김",L$7&gt;=$E10,L$7&lt;=$F10,$H10&lt;&gt;"삭제")</formula>
    </cfRule>
    <cfRule type="expression" dxfId="19" priority="167" stopIfTrue="1">
      <formula>AND($C10="BE",$E10&lt;&gt;"",$J10&lt;&gt;"막대숨김",L$7&gt;=$E10,L$7&lt;=$F10,$H10&lt;&gt;"삭제")</formula>
    </cfRule>
    <cfRule type="expression" dxfId="18" priority="171">
      <formula>AND($C10="공통",$E10&lt;&gt;"",$J10&lt;&gt;"막대숨김",L$7&gt;=$E10,L$7&lt;=$F10,$H10&lt;&gt;"삭제")</formula>
    </cfRule>
  </conditionalFormatting>
  <conditionalFormatting sqref="L10:HM182">
    <cfRule type="expression" dxfId="17" priority="155" stopIfTrue="1">
      <formula>L$9="Y"</formula>
    </cfRule>
    <cfRule type="expression" dxfId="16" priority="153" stopIfTrue="1">
      <formula>OR(WEEKDAY(L$7,2)=6,WEEKDAY(L$7,2)=7)</formula>
    </cfRule>
  </conditionalFormatting>
  <conditionalFormatting sqref="L88:HM88">
    <cfRule type="expression" dxfId="15" priority="181" stopIfTrue="1">
      <formula>AND($C88="BE",#REF!&lt;&gt;"",$J88&lt;&gt;"막대숨김",L$7&gt;=#REF!,L$7&lt;=$F88,$H88&lt;&gt;"삭제",OR($H88="완료",AND($H88="진행중",L$7=#REF!)))</formula>
    </cfRule>
    <cfRule type="expression" dxfId="14" priority="178" stopIfTrue="1">
      <formula>AND($C88="",#REF!&lt;&gt;"",$J88&lt;&gt;"막대숨김",L$7&gt;=#REF!,L$7&lt;=$F88,$H88&lt;&gt;"삭제",OR($H88="완료",AND($H88="진행중",L$7=#REF!)))</formula>
    </cfRule>
    <cfRule type="expression" dxfId="13" priority="184" stopIfTrue="1">
      <formula>AND($C88="FE",#REF!&lt;&gt;"",$J88&lt;&gt;"막대숨김",L$7&gt;=#REF!,L$7&lt;=$F88,$H88&lt;&gt;"삭제",OR($H88="완료",AND($H88="진행중",L$7=#REF!)))</formula>
    </cfRule>
    <cfRule type="expression" dxfId="12" priority="187" stopIfTrue="1">
      <formula>AND($C88="공통",#REF!&lt;&gt;"",$J88&lt;&gt;"막대숨김",L$7&gt;=#REF!,L$7&lt;=$F88,$H88&lt;&gt;"삭제",OR($H88="완료",AND($H88="진행중",L$7=#REF!)))</formula>
    </cfRule>
    <cfRule type="expression" dxfId="11" priority="190" stopIfTrue="1">
      <formula>AND($C88="",#REF!&lt;&gt;"",$J88&lt;&gt;"막대숨김",L$7&gt;=#REF!,L$7&lt;=$F88,$H88&lt;&gt;"삭제")</formula>
    </cfRule>
    <cfRule type="expression" dxfId="10" priority="193" stopIfTrue="1">
      <formula>AND($C88="BE",#REF!&lt;&gt;"",$J88&lt;&gt;"막대숨김",L$7&gt;=#REF!,L$7&lt;=$F88,$H88&lt;&gt;"삭제")</formula>
    </cfRule>
    <cfRule type="expression" dxfId="9" priority="196" stopIfTrue="1">
      <formula>AND($C88="FE",#REF!&lt;&gt;"",$J88&lt;&gt;"막대숨김",L$7&gt;=#REF!,L$7&lt;=$F88,$H88&lt;&gt;"삭제")</formula>
    </cfRule>
    <cfRule type="expression" dxfId="8" priority="199">
      <formula>AND($C88="공통",#REF!&lt;&gt;"",$J88&lt;&gt;"막대숨김",L$7&gt;=#REF!,L$7&lt;=$F88,$H88&lt;&gt;"삭제")</formula>
    </cfRule>
  </conditionalFormatting>
  <conditionalFormatting sqref="L89:HM89">
    <cfRule type="expression" dxfId="7" priority="180" stopIfTrue="1">
      <formula>AND($C89="BE",$E88&lt;&gt;"",$J89&lt;&gt;"막대숨김",L$7&gt;=$E88,L$7&lt;=$F89,$H89&lt;&gt;"삭제",OR($H89="완료",AND($H89="진행중",L$7=$E88)))</formula>
    </cfRule>
    <cfRule type="expression" dxfId="6" priority="177" stopIfTrue="1">
      <formula>AND($C89="",$E88&lt;&gt;"",$J89&lt;&gt;"막대숨김",L$7&gt;=$E88,L$7&lt;=$F89,$H89&lt;&gt;"삭제",OR($H89="완료",AND($H89="진행중",L$7=$E88)))</formula>
    </cfRule>
    <cfRule type="expression" dxfId="5" priority="183" stopIfTrue="1">
      <formula>AND($C89="FE",$E88&lt;&gt;"",$J89&lt;&gt;"막대숨김",L$7&gt;=$E88,L$7&lt;=$F89,$H89&lt;&gt;"삭제",OR($H89="완료",AND($H89="진행중",L$7=$E88)))</formula>
    </cfRule>
    <cfRule type="expression" dxfId="4" priority="186" stopIfTrue="1">
      <formula>AND($C89="공통",$E88&lt;&gt;"",$J89&lt;&gt;"막대숨김",L$7&gt;=$E88,L$7&lt;=$F89,$H89&lt;&gt;"삭제",OR($H89="완료",AND($H89="진행중",L$7=$E88)))</formula>
    </cfRule>
    <cfRule type="expression" dxfId="3" priority="189" stopIfTrue="1">
      <formula>AND($C89="",$E88&lt;&gt;"",$J89&lt;&gt;"막대숨김",L$7&gt;=$E88,L$7&lt;=$F89,$H89&lt;&gt;"삭제")</formula>
    </cfRule>
    <cfRule type="expression" dxfId="2" priority="192" stopIfTrue="1">
      <formula>AND($C89="BE",$E88&lt;&gt;"",$J89&lt;&gt;"막대숨김",L$7&gt;=$E88,L$7&lt;=$F89,$H89&lt;&gt;"삭제")</formula>
    </cfRule>
    <cfRule type="expression" dxfId="1" priority="195" stopIfTrue="1">
      <formula>AND($C89="FE",$E88&lt;&gt;"",$J89&lt;&gt;"막대숨김",L$7&gt;=$E88,L$7&lt;=$F89,$H89&lt;&gt;"삭제")</formula>
    </cfRule>
    <cfRule type="expression" dxfId="0" priority="198">
      <formula>AND($C89="공통",$E88&lt;&gt;"",$J89&lt;&gt;"막대숨김",L$7&gt;=$E88,L$7&lt;=$F89,$H89&lt;&gt;"삭제")</formula>
    </cfRule>
  </conditionalFormatting>
  <dataValidations count="1">
    <dataValidation type="list" allowBlank="1" showInputMessage="1" showErrorMessage="1" sqref="H10:H182" xr:uid="{A455506C-2DB6-574A-85AD-4BCF2F205357}">
      <formula1>"완료,진행중,작업대기,보류,삭제"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0A8964-9C12-0D4C-9A0D-4B6E665776DD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G10:G182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109"/>
  <sheetViews>
    <sheetView zoomScale="6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I35" sqref="EI35"/>
    </sheetView>
  </sheetViews>
  <sheetFormatPr baseColWidth="10" defaultColWidth="8.83203125" defaultRowHeight="17"/>
  <cols>
    <col min="1" max="1" width="2.5" customWidth="1"/>
    <col min="2" max="2" width="22.83203125" customWidth="1"/>
    <col min="3" max="3" width="9" customWidth="1"/>
    <col min="4" max="4" width="22" customWidth="1"/>
    <col min="5" max="5" width="42" customWidth="1"/>
    <col min="6" max="6" width="9" customWidth="1"/>
    <col min="7" max="7" width="10" customWidth="1"/>
    <col min="8" max="217" width="2.83203125" customWidth="1"/>
  </cols>
  <sheetData>
    <row r="1" spans="1:217" ht="22" customHeight="1">
      <c r="B1" s="99" t="s">
        <v>0</v>
      </c>
      <c r="C1" s="91"/>
      <c r="D1" s="91"/>
      <c r="E1" s="91"/>
      <c r="F1" s="91"/>
      <c r="G1" s="91"/>
      <c r="H1" s="95" t="s">
        <v>1</v>
      </c>
      <c r="I1" s="96"/>
      <c r="J1" s="96"/>
      <c r="K1" s="96"/>
      <c r="L1" s="96"/>
      <c r="M1" s="96"/>
      <c r="N1" s="97"/>
      <c r="O1" s="95" t="s">
        <v>2</v>
      </c>
      <c r="P1" s="96"/>
      <c r="Q1" s="96"/>
      <c r="R1" s="96"/>
      <c r="S1" s="96"/>
      <c r="T1" s="96"/>
      <c r="U1" s="97"/>
      <c r="V1" s="95" t="s">
        <v>3</v>
      </c>
      <c r="W1" s="96"/>
      <c r="X1" s="96"/>
      <c r="Y1" s="96"/>
      <c r="Z1" s="96"/>
      <c r="AA1" s="96"/>
      <c r="AB1" s="97"/>
      <c r="AC1" s="95" t="s">
        <v>4</v>
      </c>
      <c r="AD1" s="96"/>
      <c r="AE1" s="96"/>
      <c r="AF1" s="96"/>
      <c r="AG1" s="96"/>
      <c r="AH1" s="96"/>
      <c r="AI1" s="97"/>
      <c r="AJ1" s="95" t="s">
        <v>269</v>
      </c>
      <c r="AK1" s="96"/>
      <c r="AL1" s="96"/>
      <c r="AM1" s="96"/>
      <c r="AN1" s="96"/>
      <c r="AO1" s="96"/>
      <c r="AP1" s="97"/>
      <c r="AQ1" s="95" t="s">
        <v>5</v>
      </c>
      <c r="AR1" s="96"/>
      <c r="AS1" s="96"/>
      <c r="AT1" s="96"/>
      <c r="AU1" s="96"/>
      <c r="AV1" s="96"/>
      <c r="AW1" s="97"/>
      <c r="AX1" s="95" t="s">
        <v>6</v>
      </c>
      <c r="AY1" s="96"/>
      <c r="AZ1" s="96"/>
      <c r="BA1" s="96"/>
      <c r="BB1" s="96"/>
      <c r="BC1" s="96"/>
      <c r="BD1" s="97"/>
      <c r="BE1" s="95" t="s">
        <v>7</v>
      </c>
      <c r="BF1" s="96"/>
      <c r="BG1" s="96"/>
      <c r="BH1" s="96"/>
      <c r="BI1" s="96"/>
      <c r="BJ1" s="96"/>
      <c r="BK1" s="97"/>
      <c r="BL1" s="95" t="s">
        <v>8</v>
      </c>
      <c r="BM1" s="96"/>
      <c r="BN1" s="96"/>
      <c r="BO1" s="96"/>
      <c r="BP1" s="96"/>
      <c r="BQ1" s="96"/>
      <c r="BR1" s="97"/>
      <c r="BS1" s="95" t="s">
        <v>9</v>
      </c>
      <c r="BT1" s="96"/>
      <c r="BU1" s="96"/>
      <c r="BV1" s="96"/>
      <c r="BW1" s="96"/>
      <c r="BX1" s="96"/>
      <c r="BY1" s="97"/>
      <c r="BZ1" s="95" t="s">
        <v>10</v>
      </c>
      <c r="CA1" s="96"/>
      <c r="CB1" s="96"/>
      <c r="CC1" s="96"/>
      <c r="CD1" s="96"/>
      <c r="CE1" s="96"/>
      <c r="CF1" s="97"/>
      <c r="CG1" s="95" t="s">
        <v>11</v>
      </c>
      <c r="CH1" s="96"/>
      <c r="CI1" s="96"/>
      <c r="CJ1" s="96"/>
      <c r="CK1" s="96"/>
      <c r="CL1" s="96"/>
      <c r="CM1" s="97"/>
      <c r="CN1" s="95" t="s">
        <v>12</v>
      </c>
      <c r="CO1" s="96"/>
      <c r="CP1" s="96"/>
      <c r="CQ1" s="96"/>
      <c r="CR1" s="96"/>
      <c r="CS1" s="96"/>
      <c r="CT1" s="97"/>
      <c r="CU1" s="95" t="s">
        <v>13</v>
      </c>
      <c r="CV1" s="96"/>
      <c r="CW1" s="96"/>
      <c r="CX1" s="96"/>
      <c r="CY1" s="96"/>
      <c r="CZ1" s="96"/>
      <c r="DA1" s="97"/>
      <c r="DB1" s="95" t="s">
        <v>14</v>
      </c>
      <c r="DC1" s="96"/>
      <c r="DD1" s="96"/>
      <c r="DE1" s="96"/>
      <c r="DF1" s="96"/>
      <c r="DG1" s="96"/>
      <c r="DH1" s="97"/>
      <c r="DI1" s="95" t="s">
        <v>15</v>
      </c>
      <c r="DJ1" s="96"/>
      <c r="DK1" s="96"/>
      <c r="DL1" s="96"/>
      <c r="DM1" s="96"/>
      <c r="DN1" s="96"/>
      <c r="DO1" s="97"/>
      <c r="DP1" s="95" t="s">
        <v>16</v>
      </c>
      <c r="DQ1" s="96"/>
      <c r="DR1" s="96"/>
      <c r="DS1" s="96"/>
      <c r="DT1" s="96"/>
      <c r="DU1" s="96"/>
      <c r="DV1" s="97"/>
      <c r="DW1" s="95" t="s">
        <v>17</v>
      </c>
      <c r="DX1" s="96"/>
      <c r="DY1" s="96"/>
      <c r="DZ1" s="96"/>
      <c r="EA1" s="96"/>
      <c r="EB1" s="96"/>
      <c r="EC1" s="96"/>
      <c r="ED1" s="95" t="s">
        <v>18</v>
      </c>
      <c r="EE1" s="96"/>
      <c r="EF1" s="96"/>
      <c r="EG1" s="96"/>
      <c r="EH1" s="96"/>
      <c r="EI1" s="96"/>
      <c r="EJ1" s="96"/>
      <c r="EK1" s="95" t="s">
        <v>19</v>
      </c>
      <c r="EL1" s="96"/>
      <c r="EM1" s="96"/>
      <c r="EN1" s="96"/>
      <c r="EO1" s="96"/>
      <c r="EP1" s="96"/>
      <c r="EQ1" s="96"/>
      <c r="ER1" s="95" t="s">
        <v>20</v>
      </c>
      <c r="ES1" s="96"/>
      <c r="ET1" s="96"/>
      <c r="EU1" s="96"/>
      <c r="EV1" s="96"/>
      <c r="EW1" s="96"/>
      <c r="EX1" s="96"/>
      <c r="EY1" s="95" t="s">
        <v>21</v>
      </c>
      <c r="EZ1" s="96"/>
      <c r="FA1" s="96"/>
      <c r="FB1" s="96"/>
      <c r="FC1" s="96"/>
      <c r="FD1" s="96"/>
      <c r="FE1" s="96"/>
      <c r="FF1" s="95" t="s">
        <v>22</v>
      </c>
      <c r="FG1" s="96"/>
      <c r="FH1" s="96"/>
      <c r="FI1" s="96"/>
      <c r="FJ1" s="96"/>
      <c r="FK1" s="96"/>
      <c r="FL1" s="96"/>
      <c r="FM1" s="95" t="s">
        <v>23</v>
      </c>
      <c r="FN1" s="96"/>
      <c r="FO1" s="96"/>
      <c r="FP1" s="96"/>
      <c r="FQ1" s="96"/>
      <c r="FR1" s="96"/>
      <c r="FS1" s="96"/>
      <c r="FT1" s="95" t="s">
        <v>24</v>
      </c>
      <c r="FU1" s="96"/>
      <c r="FV1" s="96"/>
      <c r="FW1" s="96"/>
      <c r="FX1" s="96"/>
      <c r="FY1" s="96"/>
      <c r="FZ1" s="96"/>
      <c r="GA1" s="95" t="s">
        <v>25</v>
      </c>
      <c r="GB1" s="96"/>
      <c r="GC1" s="96"/>
      <c r="GD1" s="96"/>
      <c r="GE1" s="96"/>
      <c r="GF1" s="96"/>
      <c r="GG1" s="96"/>
      <c r="GH1" s="95" t="s">
        <v>26</v>
      </c>
      <c r="GI1" s="96"/>
      <c r="GJ1" s="96"/>
      <c r="GK1" s="96"/>
      <c r="GL1" s="96"/>
      <c r="GM1" s="96"/>
      <c r="GN1" s="96"/>
      <c r="GO1" s="95" t="s">
        <v>27</v>
      </c>
      <c r="GP1" s="96"/>
      <c r="GQ1" s="96"/>
      <c r="GR1" s="96"/>
      <c r="GS1" s="96"/>
      <c r="GT1" s="96"/>
      <c r="GU1" s="96"/>
      <c r="GV1" s="95" t="s">
        <v>28</v>
      </c>
      <c r="GW1" s="96"/>
      <c r="GX1" s="96"/>
      <c r="GY1" s="96"/>
      <c r="GZ1" s="96"/>
      <c r="HA1" s="96"/>
      <c r="HB1" s="96"/>
      <c r="HC1" s="95" t="s">
        <v>29</v>
      </c>
      <c r="HD1" s="96"/>
      <c r="HE1" s="96"/>
      <c r="HF1" s="96"/>
      <c r="HG1" s="96"/>
      <c r="HH1" s="96"/>
      <c r="HI1" s="96"/>
    </row>
    <row r="2" spans="1:217" ht="16" customHeight="1">
      <c r="G2" s="27"/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>
        <v>1</v>
      </c>
      <c r="AK2" s="1">
        <v>2</v>
      </c>
      <c r="AL2" s="1">
        <v>3</v>
      </c>
      <c r="AM2" s="1">
        <v>4</v>
      </c>
      <c r="AN2" s="1">
        <v>5</v>
      </c>
      <c r="AO2" s="1">
        <v>6</v>
      </c>
      <c r="AP2" s="1">
        <v>7</v>
      </c>
      <c r="AQ2" s="1">
        <v>8</v>
      </c>
      <c r="AR2" s="1">
        <v>9</v>
      </c>
      <c r="AS2" s="1">
        <v>10</v>
      </c>
      <c r="AT2" s="1">
        <v>11</v>
      </c>
      <c r="AU2" s="1">
        <v>12</v>
      </c>
      <c r="AV2" s="1">
        <v>13</v>
      </c>
      <c r="AW2" s="1">
        <v>14</v>
      </c>
      <c r="AX2" s="1">
        <v>15</v>
      </c>
      <c r="AY2" s="1">
        <v>16</v>
      </c>
      <c r="AZ2" s="1">
        <v>17</v>
      </c>
      <c r="BA2" s="1">
        <v>18</v>
      </c>
      <c r="BB2" s="1">
        <v>19</v>
      </c>
      <c r="BC2" s="1">
        <v>20</v>
      </c>
      <c r="BD2" s="1">
        <v>21</v>
      </c>
      <c r="BE2" s="1">
        <v>22</v>
      </c>
      <c r="BF2" s="1">
        <v>23</v>
      </c>
      <c r="BG2" s="1">
        <v>24</v>
      </c>
      <c r="BH2" s="1">
        <v>25</v>
      </c>
      <c r="BI2" s="1">
        <v>26</v>
      </c>
      <c r="BJ2" s="1">
        <v>27</v>
      </c>
      <c r="BK2" s="1">
        <v>28</v>
      </c>
      <c r="BL2" s="1">
        <v>29</v>
      </c>
      <c r="BM2" s="1">
        <v>30</v>
      </c>
      <c r="BN2" s="1">
        <v>1</v>
      </c>
      <c r="BO2" s="1">
        <v>2</v>
      </c>
      <c r="BP2" s="1">
        <v>3</v>
      </c>
      <c r="BQ2" s="1">
        <v>4</v>
      </c>
      <c r="BR2" s="1">
        <v>5</v>
      </c>
      <c r="BS2" s="1">
        <v>6</v>
      </c>
      <c r="BT2" s="1">
        <v>7</v>
      </c>
      <c r="BU2" s="1">
        <v>8</v>
      </c>
      <c r="BV2" s="1">
        <v>9</v>
      </c>
      <c r="BW2" s="1">
        <v>10</v>
      </c>
      <c r="BX2" s="1">
        <v>11</v>
      </c>
      <c r="BY2" s="1">
        <v>12</v>
      </c>
      <c r="BZ2" s="1">
        <v>13</v>
      </c>
      <c r="CA2" s="1">
        <v>14</v>
      </c>
      <c r="CB2" s="1">
        <v>15</v>
      </c>
      <c r="CC2" s="1">
        <v>16</v>
      </c>
      <c r="CD2" s="1">
        <v>17</v>
      </c>
      <c r="CE2" s="1">
        <v>18</v>
      </c>
      <c r="CF2" s="1">
        <v>19</v>
      </c>
      <c r="CG2" s="1">
        <v>20</v>
      </c>
      <c r="CH2" s="1">
        <v>21</v>
      </c>
      <c r="CI2" s="1">
        <v>22</v>
      </c>
      <c r="CJ2" s="1">
        <v>23</v>
      </c>
      <c r="CK2" s="1">
        <v>24</v>
      </c>
      <c r="CL2" s="1">
        <v>25</v>
      </c>
      <c r="CM2" s="1">
        <v>26</v>
      </c>
      <c r="CN2" s="1">
        <v>27</v>
      </c>
      <c r="CO2" s="1">
        <v>28</v>
      </c>
      <c r="CP2" s="1">
        <v>29</v>
      </c>
      <c r="CQ2" s="1">
        <v>30</v>
      </c>
      <c r="CR2" s="1">
        <v>31</v>
      </c>
      <c r="CS2" s="1">
        <v>1</v>
      </c>
      <c r="CT2" s="1">
        <v>2</v>
      </c>
      <c r="CU2" s="1">
        <v>3</v>
      </c>
      <c r="CV2" s="1">
        <v>4</v>
      </c>
      <c r="CW2" s="1">
        <v>5</v>
      </c>
      <c r="CX2" s="1">
        <v>6</v>
      </c>
      <c r="CY2" s="1">
        <v>7</v>
      </c>
      <c r="CZ2" s="1">
        <v>8</v>
      </c>
      <c r="DA2" s="1">
        <v>9</v>
      </c>
      <c r="DB2" s="1">
        <v>10</v>
      </c>
      <c r="DC2" s="1">
        <v>11</v>
      </c>
      <c r="DD2" s="1">
        <v>12</v>
      </c>
      <c r="DE2" s="1">
        <v>13</v>
      </c>
      <c r="DF2" s="1">
        <v>14</v>
      </c>
      <c r="DG2" s="1">
        <v>15</v>
      </c>
      <c r="DH2" s="1">
        <v>16</v>
      </c>
      <c r="DI2" s="1">
        <v>17</v>
      </c>
      <c r="DJ2" s="1">
        <v>18</v>
      </c>
      <c r="DK2" s="1">
        <v>19</v>
      </c>
      <c r="DL2" s="1">
        <v>20</v>
      </c>
      <c r="DM2" s="1">
        <v>21</v>
      </c>
      <c r="DN2" s="1">
        <v>22</v>
      </c>
      <c r="DO2" s="1">
        <v>23</v>
      </c>
      <c r="DP2" s="1">
        <v>24</v>
      </c>
      <c r="DQ2" s="1">
        <v>25</v>
      </c>
      <c r="DR2" s="1">
        <v>26</v>
      </c>
      <c r="DS2" s="1">
        <v>27</v>
      </c>
      <c r="DT2" s="1">
        <v>28</v>
      </c>
      <c r="DU2" s="1">
        <v>29</v>
      </c>
      <c r="DV2" s="1">
        <v>30</v>
      </c>
      <c r="DW2" s="14" t="s">
        <v>30</v>
      </c>
      <c r="DX2" s="1" t="s">
        <v>31</v>
      </c>
      <c r="DY2" s="1" t="s">
        <v>32</v>
      </c>
      <c r="DZ2" s="1" t="s">
        <v>33</v>
      </c>
      <c r="EA2" s="1" t="s">
        <v>34</v>
      </c>
      <c r="EB2" s="1" t="s">
        <v>35</v>
      </c>
      <c r="EC2" s="1" t="s">
        <v>36</v>
      </c>
      <c r="ED2" s="1" t="s">
        <v>37</v>
      </c>
      <c r="EE2" s="1" t="s">
        <v>38</v>
      </c>
      <c r="EF2" s="1" t="s">
        <v>39</v>
      </c>
      <c r="EG2" s="1" t="s">
        <v>40</v>
      </c>
      <c r="EH2" s="1" t="s">
        <v>41</v>
      </c>
      <c r="EI2" s="1" t="s">
        <v>42</v>
      </c>
      <c r="EJ2" s="1" t="s">
        <v>43</v>
      </c>
      <c r="EK2" s="1" t="s">
        <v>44</v>
      </c>
      <c r="EL2" s="1" t="s">
        <v>45</v>
      </c>
      <c r="EM2" s="1" t="s">
        <v>46</v>
      </c>
      <c r="EN2" s="1" t="s">
        <v>47</v>
      </c>
      <c r="EO2" s="1" t="s">
        <v>48</v>
      </c>
      <c r="EP2" s="1" t="s">
        <v>49</v>
      </c>
      <c r="EQ2" s="1" t="s">
        <v>50</v>
      </c>
      <c r="ER2" s="1" t="s">
        <v>51</v>
      </c>
      <c r="ES2" s="1" t="s">
        <v>52</v>
      </c>
      <c r="ET2" s="1" t="s">
        <v>53</v>
      </c>
      <c r="EU2" s="1" t="s">
        <v>54</v>
      </c>
      <c r="EV2" s="1" t="s">
        <v>55</v>
      </c>
      <c r="EW2" s="1" t="s">
        <v>56</v>
      </c>
      <c r="EX2" s="1" t="s">
        <v>57</v>
      </c>
      <c r="EY2" s="1" t="s">
        <v>58</v>
      </c>
      <c r="EZ2" s="1" t="s">
        <v>59</v>
      </c>
      <c r="FA2" s="1" t="s">
        <v>60</v>
      </c>
      <c r="FB2" s="1" t="s">
        <v>31</v>
      </c>
      <c r="FC2" s="1" t="s">
        <v>32</v>
      </c>
      <c r="FD2" s="1" t="s">
        <v>33</v>
      </c>
      <c r="FE2" s="1" t="s">
        <v>34</v>
      </c>
      <c r="FF2" s="1" t="s">
        <v>35</v>
      </c>
      <c r="FG2" s="1" t="s">
        <v>36</v>
      </c>
      <c r="FH2" s="1" t="s">
        <v>37</v>
      </c>
      <c r="FI2" s="1" t="s">
        <v>38</v>
      </c>
      <c r="FJ2" s="1" t="s">
        <v>39</v>
      </c>
      <c r="FK2" s="1" t="s">
        <v>40</v>
      </c>
      <c r="FL2" s="1" t="s">
        <v>41</v>
      </c>
      <c r="FM2" s="1" t="s">
        <v>42</v>
      </c>
      <c r="FN2" s="1" t="s">
        <v>43</v>
      </c>
      <c r="FO2" s="1" t="s">
        <v>44</v>
      </c>
      <c r="FP2" s="1" t="s">
        <v>45</v>
      </c>
      <c r="FQ2" s="1" t="s">
        <v>46</v>
      </c>
      <c r="FR2" s="1" t="s">
        <v>47</v>
      </c>
      <c r="FS2" s="1" t="s">
        <v>48</v>
      </c>
      <c r="FT2" s="1" t="s">
        <v>49</v>
      </c>
      <c r="FU2" s="1" t="s">
        <v>50</v>
      </c>
      <c r="FV2" s="1" t="s">
        <v>51</v>
      </c>
      <c r="FW2" s="1" t="s">
        <v>52</v>
      </c>
      <c r="FX2" s="1" t="s">
        <v>53</v>
      </c>
      <c r="FY2" s="1" t="s">
        <v>54</v>
      </c>
      <c r="FZ2" s="1" t="s">
        <v>55</v>
      </c>
      <c r="GA2" s="1" t="s">
        <v>56</v>
      </c>
      <c r="GB2" s="1" t="s">
        <v>57</v>
      </c>
      <c r="GC2" s="1" t="s">
        <v>58</v>
      </c>
      <c r="GD2" s="1" t="s">
        <v>59</v>
      </c>
      <c r="GE2" s="1" t="s">
        <v>60</v>
      </c>
      <c r="GF2" s="1" t="s">
        <v>30</v>
      </c>
      <c r="GG2" s="1" t="s">
        <v>31</v>
      </c>
      <c r="GH2" s="1" t="s">
        <v>32</v>
      </c>
      <c r="GI2" s="1" t="s">
        <v>33</v>
      </c>
      <c r="GJ2" s="1" t="s">
        <v>34</v>
      </c>
      <c r="GK2" s="1" t="s">
        <v>35</v>
      </c>
      <c r="GL2" s="1" t="s">
        <v>36</v>
      </c>
      <c r="GM2" s="1" t="s">
        <v>37</v>
      </c>
      <c r="GN2" s="1" t="s">
        <v>38</v>
      </c>
      <c r="GO2" s="1" t="s">
        <v>39</v>
      </c>
      <c r="GP2" s="1" t="s">
        <v>40</v>
      </c>
      <c r="GQ2" s="1" t="s">
        <v>41</v>
      </c>
      <c r="GR2" s="1" t="s">
        <v>42</v>
      </c>
      <c r="GS2" s="1" t="s">
        <v>43</v>
      </c>
      <c r="GT2" s="1" t="s">
        <v>44</v>
      </c>
      <c r="GU2" s="1" t="s">
        <v>45</v>
      </c>
      <c r="GV2" s="1" t="s">
        <v>46</v>
      </c>
      <c r="GW2" s="1" t="s">
        <v>47</v>
      </c>
      <c r="GX2" s="1" t="s">
        <v>48</v>
      </c>
      <c r="GY2" s="1" t="s">
        <v>49</v>
      </c>
      <c r="GZ2" s="1" t="s">
        <v>50</v>
      </c>
      <c r="HA2" s="1" t="s">
        <v>51</v>
      </c>
      <c r="HB2" s="1" t="s">
        <v>52</v>
      </c>
      <c r="HC2" s="1" t="s">
        <v>53</v>
      </c>
      <c r="HD2" s="1" t="s">
        <v>54</v>
      </c>
      <c r="HE2" s="1" t="s">
        <v>55</v>
      </c>
      <c r="HF2" s="1" t="s">
        <v>56</v>
      </c>
      <c r="HG2" s="1" t="s">
        <v>57</v>
      </c>
      <c r="HH2" s="1" t="s">
        <v>58</v>
      </c>
      <c r="HI2" s="1" t="s">
        <v>59</v>
      </c>
    </row>
    <row r="3" spans="1:217" ht="22" customHeight="1">
      <c r="A3" s="11"/>
      <c r="B3" s="11" t="s">
        <v>61</v>
      </c>
      <c r="C3" s="11" t="s">
        <v>62</v>
      </c>
      <c r="D3" s="11" t="s">
        <v>63</v>
      </c>
      <c r="E3" s="11" t="s">
        <v>64</v>
      </c>
      <c r="F3" s="11" t="s">
        <v>65</v>
      </c>
      <c r="G3" s="24" t="s">
        <v>66</v>
      </c>
      <c r="H3" s="25" t="s">
        <v>67</v>
      </c>
      <c r="I3" s="11" t="s">
        <v>68</v>
      </c>
      <c r="J3" s="11" t="s">
        <v>69</v>
      </c>
      <c r="K3" s="11" t="s">
        <v>70</v>
      </c>
      <c r="L3" s="11" t="s">
        <v>71</v>
      </c>
      <c r="M3" s="11" t="s">
        <v>72</v>
      </c>
      <c r="N3" s="11" t="s">
        <v>73</v>
      </c>
      <c r="O3" s="11" t="s">
        <v>67</v>
      </c>
      <c r="P3" s="11" t="s">
        <v>68</v>
      </c>
      <c r="Q3" s="11" t="s">
        <v>69</v>
      </c>
      <c r="R3" s="11" t="s">
        <v>70</v>
      </c>
      <c r="S3" s="11" t="s">
        <v>71</v>
      </c>
      <c r="T3" s="11" t="s">
        <v>72</v>
      </c>
      <c r="U3" s="11" t="s">
        <v>73</v>
      </c>
      <c r="V3" s="11" t="s">
        <v>67</v>
      </c>
      <c r="W3" s="11" t="s">
        <v>68</v>
      </c>
      <c r="X3" s="11" t="s">
        <v>69</v>
      </c>
      <c r="Y3" s="11" t="s">
        <v>70</v>
      </c>
      <c r="Z3" s="11" t="s">
        <v>71</v>
      </c>
      <c r="AA3" s="11" t="s">
        <v>72</v>
      </c>
      <c r="AB3" s="11" t="s">
        <v>73</v>
      </c>
      <c r="AC3" s="11" t="s">
        <v>67</v>
      </c>
      <c r="AD3" s="11" t="s">
        <v>68</v>
      </c>
      <c r="AE3" s="11" t="s">
        <v>69</v>
      </c>
      <c r="AF3" s="11" t="s">
        <v>70</v>
      </c>
      <c r="AG3" s="11" t="s">
        <v>71</v>
      </c>
      <c r="AH3" s="11" t="s">
        <v>72</v>
      </c>
      <c r="AI3" s="11" t="s">
        <v>73</v>
      </c>
      <c r="AJ3" s="11" t="s">
        <v>67</v>
      </c>
      <c r="AK3" s="11" t="s">
        <v>68</v>
      </c>
      <c r="AL3" s="11" t="s">
        <v>69</v>
      </c>
      <c r="AM3" s="11" t="s">
        <v>70</v>
      </c>
      <c r="AN3" s="11" t="s">
        <v>71</v>
      </c>
      <c r="AO3" s="11" t="s">
        <v>72</v>
      </c>
      <c r="AP3" s="11" t="s">
        <v>73</v>
      </c>
      <c r="AQ3" s="11" t="s">
        <v>67</v>
      </c>
      <c r="AR3" s="11" t="s">
        <v>68</v>
      </c>
      <c r="AS3" s="11" t="s">
        <v>69</v>
      </c>
      <c r="AT3" s="11" t="s">
        <v>70</v>
      </c>
      <c r="AU3" s="11" t="s">
        <v>71</v>
      </c>
      <c r="AV3" s="11" t="s">
        <v>72</v>
      </c>
      <c r="AW3" s="11" t="s">
        <v>73</v>
      </c>
      <c r="AX3" s="11" t="s">
        <v>67</v>
      </c>
      <c r="AY3" s="11" t="s">
        <v>68</v>
      </c>
      <c r="AZ3" s="11" t="s">
        <v>69</v>
      </c>
      <c r="BA3" s="11" t="s">
        <v>70</v>
      </c>
      <c r="BB3" s="11" t="s">
        <v>71</v>
      </c>
      <c r="BC3" s="11" t="s">
        <v>72</v>
      </c>
      <c r="BD3" s="11" t="s">
        <v>73</v>
      </c>
      <c r="BE3" s="11" t="s">
        <v>67</v>
      </c>
      <c r="BF3" s="11" t="s">
        <v>68</v>
      </c>
      <c r="BG3" s="11" t="s">
        <v>69</v>
      </c>
      <c r="BH3" s="11" t="s">
        <v>70</v>
      </c>
      <c r="BI3" s="11" t="s">
        <v>71</v>
      </c>
      <c r="BJ3" s="11" t="s">
        <v>72</v>
      </c>
      <c r="BK3" s="11" t="s">
        <v>73</v>
      </c>
      <c r="BL3" s="11" t="s">
        <v>67</v>
      </c>
      <c r="BM3" s="11" t="s">
        <v>68</v>
      </c>
      <c r="BN3" s="11" t="s">
        <v>69</v>
      </c>
      <c r="BO3" s="11" t="s">
        <v>70</v>
      </c>
      <c r="BP3" s="11" t="s">
        <v>71</v>
      </c>
      <c r="BQ3" s="11" t="s">
        <v>72</v>
      </c>
      <c r="BR3" s="11" t="s">
        <v>73</v>
      </c>
      <c r="BS3" s="11" t="s">
        <v>67</v>
      </c>
      <c r="BT3" s="11" t="s">
        <v>68</v>
      </c>
      <c r="BU3" s="11" t="s">
        <v>69</v>
      </c>
      <c r="BV3" s="11" t="s">
        <v>70</v>
      </c>
      <c r="BW3" s="11" t="s">
        <v>71</v>
      </c>
      <c r="BX3" s="11" t="s">
        <v>72</v>
      </c>
      <c r="BY3" s="11" t="s">
        <v>73</v>
      </c>
      <c r="BZ3" s="11" t="s">
        <v>67</v>
      </c>
      <c r="CA3" s="11" t="s">
        <v>68</v>
      </c>
      <c r="CB3" s="11" t="s">
        <v>69</v>
      </c>
      <c r="CC3" s="11" t="s">
        <v>70</v>
      </c>
      <c r="CD3" s="11" t="s">
        <v>71</v>
      </c>
      <c r="CE3" s="11" t="s">
        <v>72</v>
      </c>
      <c r="CF3" s="11" t="s">
        <v>73</v>
      </c>
      <c r="CG3" s="11" t="s">
        <v>67</v>
      </c>
      <c r="CH3" s="11" t="s">
        <v>68</v>
      </c>
      <c r="CI3" s="11" t="s">
        <v>69</v>
      </c>
      <c r="CJ3" s="11" t="s">
        <v>70</v>
      </c>
      <c r="CK3" s="11" t="s">
        <v>71</v>
      </c>
      <c r="CL3" s="11" t="s">
        <v>72</v>
      </c>
      <c r="CM3" s="11" t="s">
        <v>73</v>
      </c>
      <c r="CN3" s="11" t="s">
        <v>67</v>
      </c>
      <c r="CO3" s="11" t="s">
        <v>68</v>
      </c>
      <c r="CP3" s="11" t="s">
        <v>69</v>
      </c>
      <c r="CQ3" s="11" t="s">
        <v>70</v>
      </c>
      <c r="CR3" s="11" t="s">
        <v>71</v>
      </c>
      <c r="CS3" s="11" t="s">
        <v>72</v>
      </c>
      <c r="CT3" s="11" t="s">
        <v>73</v>
      </c>
      <c r="CU3" s="11" t="s">
        <v>67</v>
      </c>
      <c r="CV3" s="11" t="s">
        <v>68</v>
      </c>
      <c r="CW3" s="11" t="s">
        <v>69</v>
      </c>
      <c r="CX3" s="11" t="s">
        <v>70</v>
      </c>
      <c r="CY3" s="11" t="s">
        <v>71</v>
      </c>
      <c r="CZ3" s="11" t="s">
        <v>72</v>
      </c>
      <c r="DA3" s="11" t="s">
        <v>73</v>
      </c>
      <c r="DB3" s="11" t="s">
        <v>67</v>
      </c>
      <c r="DC3" s="11" t="s">
        <v>68</v>
      </c>
      <c r="DD3" s="11" t="s">
        <v>69</v>
      </c>
      <c r="DE3" s="11" t="s">
        <v>70</v>
      </c>
      <c r="DF3" s="11" t="s">
        <v>71</v>
      </c>
      <c r="DG3" s="11" t="s">
        <v>72</v>
      </c>
      <c r="DH3" s="11" t="s">
        <v>73</v>
      </c>
      <c r="DI3" s="11" t="s">
        <v>67</v>
      </c>
      <c r="DJ3" s="11" t="s">
        <v>68</v>
      </c>
      <c r="DK3" s="11" t="s">
        <v>69</v>
      </c>
      <c r="DL3" s="11" t="s">
        <v>70</v>
      </c>
      <c r="DM3" s="11" t="s">
        <v>71</v>
      </c>
      <c r="DN3" s="11" t="s">
        <v>72</v>
      </c>
      <c r="DO3" s="11" t="s">
        <v>73</v>
      </c>
      <c r="DP3" s="11" t="s">
        <v>67</v>
      </c>
      <c r="DQ3" s="11" t="s">
        <v>68</v>
      </c>
      <c r="DR3" s="11" t="s">
        <v>69</v>
      </c>
      <c r="DS3" s="11" t="s">
        <v>70</v>
      </c>
      <c r="DT3" s="11" t="s">
        <v>71</v>
      </c>
      <c r="DU3" s="11" t="s">
        <v>72</v>
      </c>
      <c r="DV3" s="11" t="s">
        <v>73</v>
      </c>
      <c r="DW3" s="11" t="s">
        <v>67</v>
      </c>
      <c r="DX3" s="22" t="s">
        <v>68</v>
      </c>
      <c r="DY3" s="22" t="s">
        <v>69</v>
      </c>
      <c r="DZ3" s="22" t="s">
        <v>70</v>
      </c>
      <c r="EA3" s="22" t="s">
        <v>71</v>
      </c>
      <c r="EB3" s="22" t="s">
        <v>72</v>
      </c>
      <c r="EC3" s="11" t="s">
        <v>73</v>
      </c>
      <c r="ED3" s="11" t="s">
        <v>67</v>
      </c>
      <c r="EE3" s="11" t="s">
        <v>68</v>
      </c>
      <c r="EF3" s="11" t="s">
        <v>69</v>
      </c>
      <c r="EG3" s="11" t="s">
        <v>70</v>
      </c>
      <c r="EH3" s="11" t="s">
        <v>71</v>
      </c>
      <c r="EI3" s="11" t="s">
        <v>72</v>
      </c>
      <c r="EJ3" s="11" t="s">
        <v>73</v>
      </c>
      <c r="EK3" s="11" t="s">
        <v>67</v>
      </c>
      <c r="EL3" s="11" t="s">
        <v>68</v>
      </c>
      <c r="EM3" s="11" t="s">
        <v>69</v>
      </c>
      <c r="EN3" s="11" t="s">
        <v>70</v>
      </c>
      <c r="EO3" s="11" t="s">
        <v>71</v>
      </c>
      <c r="EP3" s="11" t="s">
        <v>72</v>
      </c>
      <c r="EQ3" s="11" t="s">
        <v>73</v>
      </c>
      <c r="ER3" s="11" t="s">
        <v>67</v>
      </c>
      <c r="ES3" s="11" t="s">
        <v>68</v>
      </c>
      <c r="ET3" s="11" t="s">
        <v>69</v>
      </c>
      <c r="EU3" s="11" t="s">
        <v>70</v>
      </c>
      <c r="EV3" s="11" t="s">
        <v>71</v>
      </c>
      <c r="EW3" s="11" t="s">
        <v>72</v>
      </c>
      <c r="EX3" s="11" t="s">
        <v>73</v>
      </c>
      <c r="EY3" s="11" t="s">
        <v>67</v>
      </c>
      <c r="EZ3" s="11" t="s">
        <v>68</v>
      </c>
      <c r="FA3" s="11" t="s">
        <v>69</v>
      </c>
      <c r="FB3" s="11" t="s">
        <v>70</v>
      </c>
      <c r="FC3" s="11" t="s">
        <v>71</v>
      </c>
      <c r="FD3" s="11" t="s">
        <v>72</v>
      </c>
      <c r="FE3" s="11" t="s">
        <v>73</v>
      </c>
      <c r="FF3" s="11" t="s">
        <v>67</v>
      </c>
      <c r="FG3" s="11" t="s">
        <v>68</v>
      </c>
      <c r="FH3" s="11" t="s">
        <v>69</v>
      </c>
      <c r="FI3" s="11" t="s">
        <v>70</v>
      </c>
      <c r="FJ3" s="11" t="s">
        <v>71</v>
      </c>
      <c r="FK3" s="11" t="s">
        <v>72</v>
      </c>
      <c r="FL3" s="11" t="s">
        <v>73</v>
      </c>
      <c r="FM3" s="11" t="s">
        <v>67</v>
      </c>
      <c r="FN3" s="11" t="s">
        <v>68</v>
      </c>
      <c r="FO3" s="11" t="s">
        <v>69</v>
      </c>
      <c r="FP3" s="11" t="s">
        <v>70</v>
      </c>
      <c r="FQ3" s="11" t="s">
        <v>71</v>
      </c>
      <c r="FR3" s="11" t="s">
        <v>72</v>
      </c>
      <c r="FS3" s="11" t="s">
        <v>73</v>
      </c>
      <c r="FT3" s="11" t="s">
        <v>67</v>
      </c>
      <c r="FU3" s="11" t="s">
        <v>68</v>
      </c>
      <c r="FV3" s="11" t="s">
        <v>69</v>
      </c>
      <c r="FW3" s="11" t="s">
        <v>70</v>
      </c>
      <c r="FX3" s="11" t="s">
        <v>71</v>
      </c>
      <c r="FY3" s="11" t="s">
        <v>72</v>
      </c>
      <c r="FZ3" s="11" t="s">
        <v>73</v>
      </c>
      <c r="GA3" s="11" t="s">
        <v>67</v>
      </c>
      <c r="GB3" s="11" t="s">
        <v>68</v>
      </c>
      <c r="GC3" s="11" t="s">
        <v>69</v>
      </c>
      <c r="GD3" s="11" t="s">
        <v>70</v>
      </c>
      <c r="GE3" s="11" t="s">
        <v>71</v>
      </c>
      <c r="GF3" s="11" t="s">
        <v>72</v>
      </c>
      <c r="GG3" s="11" t="s">
        <v>73</v>
      </c>
      <c r="GH3" s="11" t="s">
        <v>67</v>
      </c>
      <c r="GI3" s="11" t="s">
        <v>68</v>
      </c>
      <c r="GJ3" s="11" t="s">
        <v>69</v>
      </c>
      <c r="GK3" s="11" t="s">
        <v>70</v>
      </c>
      <c r="GL3" s="11" t="s">
        <v>71</v>
      </c>
      <c r="GM3" s="11" t="s">
        <v>72</v>
      </c>
      <c r="GN3" s="11" t="s">
        <v>73</v>
      </c>
      <c r="GO3" s="11" t="s">
        <v>67</v>
      </c>
      <c r="GP3" s="11" t="s">
        <v>68</v>
      </c>
      <c r="GQ3" s="11" t="s">
        <v>69</v>
      </c>
      <c r="GR3" s="11" t="s">
        <v>70</v>
      </c>
      <c r="GS3" s="11" t="s">
        <v>71</v>
      </c>
      <c r="GT3" s="11" t="s">
        <v>72</v>
      </c>
      <c r="GU3" s="11" t="s">
        <v>73</v>
      </c>
      <c r="GV3" s="11" t="s">
        <v>67</v>
      </c>
      <c r="GW3" s="11" t="s">
        <v>68</v>
      </c>
      <c r="GX3" s="11" t="s">
        <v>69</v>
      </c>
      <c r="GY3" s="11" t="s">
        <v>70</v>
      </c>
      <c r="GZ3" s="11" t="s">
        <v>71</v>
      </c>
      <c r="HA3" s="11" t="s">
        <v>72</v>
      </c>
      <c r="HB3" s="11" t="s">
        <v>73</v>
      </c>
      <c r="HC3" s="11" t="s">
        <v>67</v>
      </c>
      <c r="HD3" s="11" t="s">
        <v>68</v>
      </c>
      <c r="HE3" s="11" t="s">
        <v>69</v>
      </c>
      <c r="HF3" s="11" t="s">
        <v>70</v>
      </c>
      <c r="HG3" s="11" t="s">
        <v>71</v>
      </c>
      <c r="HH3" s="11" t="s">
        <v>72</v>
      </c>
      <c r="HI3" s="11" t="s">
        <v>73</v>
      </c>
    </row>
    <row r="4" spans="1:217" ht="28" customHeight="1">
      <c r="B4" s="98" t="s">
        <v>74</v>
      </c>
      <c r="C4" s="2" t="s">
        <v>75</v>
      </c>
      <c r="D4" s="2" t="s">
        <v>76</v>
      </c>
      <c r="E4" s="3" t="s">
        <v>77</v>
      </c>
      <c r="F4" s="2" t="s">
        <v>75</v>
      </c>
      <c r="G4" s="18" t="s">
        <v>78</v>
      </c>
    </row>
    <row r="5" spans="1:217" ht="28" customHeight="1">
      <c r="B5" s="93"/>
      <c r="C5" s="2" t="s">
        <v>75</v>
      </c>
      <c r="D5" s="2" t="s">
        <v>79</v>
      </c>
      <c r="E5" s="3" t="s">
        <v>224</v>
      </c>
      <c r="F5" s="2" t="s">
        <v>75</v>
      </c>
      <c r="G5" s="18" t="s">
        <v>78</v>
      </c>
    </row>
    <row r="6" spans="1:217" ht="28" customHeight="1">
      <c r="B6" s="93"/>
      <c r="C6" s="2" t="s">
        <v>75</v>
      </c>
      <c r="D6" s="2" t="s">
        <v>80</v>
      </c>
      <c r="E6" s="3" t="s">
        <v>81</v>
      </c>
      <c r="F6" s="2" t="s">
        <v>75</v>
      </c>
      <c r="G6" s="18" t="s">
        <v>78</v>
      </c>
    </row>
    <row r="7" spans="1:217" ht="28" customHeight="1">
      <c r="B7" s="93"/>
      <c r="C7" s="2" t="s">
        <v>75</v>
      </c>
      <c r="D7" s="2" t="s">
        <v>82</v>
      </c>
      <c r="E7" s="3" t="s">
        <v>242</v>
      </c>
      <c r="F7" s="2" t="s">
        <v>75</v>
      </c>
      <c r="G7" s="18" t="s">
        <v>78</v>
      </c>
    </row>
    <row r="8" spans="1:217" ht="28" customHeight="1">
      <c r="B8" s="93"/>
      <c r="C8" s="2" t="s">
        <v>75</v>
      </c>
      <c r="D8" s="2" t="s">
        <v>83</v>
      </c>
      <c r="E8" s="3" t="s">
        <v>84</v>
      </c>
      <c r="F8" s="2" t="s">
        <v>75</v>
      </c>
      <c r="G8" s="18" t="s">
        <v>78</v>
      </c>
    </row>
    <row r="9" spans="1:217" ht="28" customHeight="1">
      <c r="B9" s="93"/>
      <c r="C9" s="2" t="s">
        <v>75</v>
      </c>
      <c r="D9" s="2" t="s">
        <v>85</v>
      </c>
      <c r="E9" s="3" t="s">
        <v>261</v>
      </c>
      <c r="F9" s="2" t="s">
        <v>75</v>
      </c>
      <c r="G9" s="18" t="s">
        <v>78</v>
      </c>
    </row>
    <row r="10" spans="1:217" ht="28" customHeight="1">
      <c r="B10" s="93"/>
      <c r="C10" s="2" t="s">
        <v>75</v>
      </c>
      <c r="D10" s="2" t="s">
        <v>86</v>
      </c>
      <c r="E10" s="3" t="s">
        <v>87</v>
      </c>
      <c r="F10" s="2" t="s">
        <v>75</v>
      </c>
      <c r="G10" s="18" t="s">
        <v>78</v>
      </c>
    </row>
    <row r="11" spans="1:217" ht="28" customHeight="1">
      <c r="B11" s="93"/>
      <c r="C11" s="2" t="s">
        <v>88</v>
      </c>
      <c r="D11" s="2" t="s">
        <v>89</v>
      </c>
      <c r="E11" s="3" t="s">
        <v>227</v>
      </c>
      <c r="F11" s="2" t="s">
        <v>88</v>
      </c>
      <c r="G11" s="18" t="s">
        <v>78</v>
      </c>
    </row>
    <row r="12" spans="1:217" ht="28" customHeight="1">
      <c r="B12" s="93"/>
      <c r="C12" s="2" t="s">
        <v>75</v>
      </c>
      <c r="D12" s="2" t="s">
        <v>90</v>
      </c>
      <c r="E12" s="3" t="s">
        <v>91</v>
      </c>
      <c r="F12" s="2" t="s">
        <v>75</v>
      </c>
      <c r="G12" s="18" t="s">
        <v>78</v>
      </c>
    </row>
    <row r="13" spans="1:217" ht="28" customHeight="1">
      <c r="B13" s="94"/>
      <c r="C13" s="2" t="s">
        <v>75</v>
      </c>
      <c r="D13" s="2" t="s">
        <v>92</v>
      </c>
      <c r="E13" s="3" t="s">
        <v>234</v>
      </c>
      <c r="F13" s="2" t="s">
        <v>75</v>
      </c>
      <c r="G13" s="18" t="s">
        <v>78</v>
      </c>
    </row>
    <row r="14" spans="1:217" ht="28" customHeight="1">
      <c r="B14" s="98" t="s">
        <v>93</v>
      </c>
      <c r="C14" s="2" t="s">
        <v>88</v>
      </c>
      <c r="D14" s="92" t="s">
        <v>94</v>
      </c>
      <c r="E14" s="3" t="s">
        <v>95</v>
      </c>
      <c r="F14" s="2" t="s">
        <v>88</v>
      </c>
      <c r="G14" s="19" t="s">
        <v>78</v>
      </c>
    </row>
    <row r="15" spans="1:217" ht="28" customHeight="1">
      <c r="B15" s="93"/>
      <c r="C15" s="2" t="s">
        <v>88</v>
      </c>
      <c r="D15" s="94"/>
      <c r="E15" s="3" t="s">
        <v>96</v>
      </c>
      <c r="F15" s="2" t="s">
        <v>88</v>
      </c>
      <c r="G15" s="19" t="s">
        <v>78</v>
      </c>
    </row>
    <row r="16" spans="1:217" ht="28" customHeight="1">
      <c r="B16" s="93"/>
      <c r="C16" s="2" t="s">
        <v>88</v>
      </c>
      <c r="D16" s="92" t="s">
        <v>97</v>
      </c>
      <c r="E16" s="3" t="s">
        <v>98</v>
      </c>
      <c r="F16" s="2" t="s">
        <v>88</v>
      </c>
      <c r="G16" s="19" t="s">
        <v>78</v>
      </c>
      <c r="BL16" s="37"/>
      <c r="BM16" s="37"/>
      <c r="BN16" s="37"/>
      <c r="BO16" s="37"/>
      <c r="BP16" s="37"/>
      <c r="BQ16" s="37"/>
      <c r="BR16" s="37"/>
    </row>
    <row r="17" spans="2:95" ht="28" customHeight="1">
      <c r="B17" s="93"/>
      <c r="C17" s="2" t="s">
        <v>88</v>
      </c>
      <c r="D17" s="94"/>
      <c r="E17" s="3" t="s">
        <v>99</v>
      </c>
      <c r="F17" s="2" t="s">
        <v>88</v>
      </c>
      <c r="G17" s="19" t="s">
        <v>78</v>
      </c>
      <c r="BL17" s="37"/>
      <c r="BM17" s="37"/>
      <c r="BN17" s="37"/>
      <c r="BO17" s="37"/>
      <c r="BP17" s="37"/>
      <c r="BQ17" s="37"/>
      <c r="BR17" s="37"/>
    </row>
    <row r="18" spans="2:95" ht="28" customHeight="1">
      <c r="B18" s="93"/>
      <c r="C18" s="2" t="s">
        <v>88</v>
      </c>
      <c r="D18" s="92" t="s">
        <v>100</v>
      </c>
      <c r="E18" s="3" t="s">
        <v>225</v>
      </c>
      <c r="F18" s="2" t="s">
        <v>88</v>
      </c>
      <c r="G18" s="19" t="s">
        <v>78</v>
      </c>
      <c r="BU18" s="37"/>
      <c r="BV18" s="37"/>
      <c r="BW18" s="37"/>
      <c r="BX18" s="37"/>
      <c r="BY18" s="37"/>
      <c r="BZ18" s="37"/>
      <c r="CA18" s="37"/>
    </row>
    <row r="19" spans="2:95" ht="28" customHeight="1">
      <c r="B19" s="93"/>
      <c r="C19" s="2" t="s">
        <v>88</v>
      </c>
      <c r="D19" s="94"/>
      <c r="E19" s="3" t="s">
        <v>101</v>
      </c>
      <c r="F19" s="2" t="s">
        <v>88</v>
      </c>
      <c r="G19" s="19" t="s">
        <v>78</v>
      </c>
      <c r="BU19" s="37"/>
      <c r="BV19" s="37"/>
      <c r="BW19" s="37"/>
      <c r="BX19" s="37"/>
      <c r="BY19" s="37"/>
      <c r="BZ19" s="37"/>
      <c r="CA19" s="37"/>
    </row>
    <row r="20" spans="2:95" ht="28" customHeight="1">
      <c r="B20" s="93"/>
      <c r="C20" s="2" t="s">
        <v>88</v>
      </c>
      <c r="D20" s="2" t="s">
        <v>102</v>
      </c>
      <c r="E20" s="3" t="s">
        <v>103</v>
      </c>
      <c r="F20" s="2" t="s">
        <v>88</v>
      </c>
      <c r="G20" s="19" t="s">
        <v>78</v>
      </c>
      <c r="BU20" s="37"/>
      <c r="BV20" s="37"/>
      <c r="BW20" s="37"/>
      <c r="BX20" s="37"/>
      <c r="BY20" s="37"/>
      <c r="BZ20" s="37"/>
      <c r="CA20" s="37"/>
    </row>
    <row r="21" spans="2:95" ht="28" customHeight="1">
      <c r="B21" s="94"/>
      <c r="C21" s="2" t="s">
        <v>88</v>
      </c>
      <c r="D21" s="2" t="s">
        <v>104</v>
      </c>
      <c r="E21" s="3" t="s">
        <v>105</v>
      </c>
      <c r="F21" s="2" t="s">
        <v>88</v>
      </c>
      <c r="G21" s="20" t="s">
        <v>106</v>
      </c>
    </row>
    <row r="22" spans="2:95" ht="28" customHeight="1">
      <c r="B22" s="98" t="s">
        <v>107</v>
      </c>
      <c r="C22" s="2" t="s">
        <v>88</v>
      </c>
      <c r="D22" s="92" t="s">
        <v>108</v>
      </c>
      <c r="E22" s="3" t="s">
        <v>109</v>
      </c>
      <c r="F22" s="2" t="s">
        <v>88</v>
      </c>
      <c r="G22" s="20" t="s">
        <v>106</v>
      </c>
    </row>
    <row r="23" spans="2:95" ht="28" customHeight="1">
      <c r="B23" s="93"/>
      <c r="C23" s="2" t="s">
        <v>88</v>
      </c>
      <c r="D23" s="93"/>
      <c r="E23" s="3" t="s">
        <v>110</v>
      </c>
      <c r="F23" s="2" t="s">
        <v>88</v>
      </c>
      <c r="G23" s="20" t="s">
        <v>106</v>
      </c>
    </row>
    <row r="24" spans="2:95" ht="28" customHeight="1">
      <c r="B24" s="93"/>
      <c r="C24" s="2" t="s">
        <v>88</v>
      </c>
      <c r="D24" s="94"/>
      <c r="E24" s="3" t="s">
        <v>111</v>
      </c>
      <c r="F24" s="2" t="s">
        <v>88</v>
      </c>
      <c r="G24" s="20" t="s">
        <v>106</v>
      </c>
    </row>
    <row r="25" spans="2:95" ht="28" customHeight="1">
      <c r="B25" s="93"/>
      <c r="C25" s="2" t="s">
        <v>88</v>
      </c>
      <c r="D25" s="92" t="s">
        <v>112</v>
      </c>
      <c r="E25" s="3" t="s">
        <v>113</v>
      </c>
      <c r="F25" s="2" t="s">
        <v>88</v>
      </c>
      <c r="G25" s="20" t="s">
        <v>106</v>
      </c>
    </row>
    <row r="26" spans="2:95" ht="28" customHeight="1">
      <c r="B26" s="93"/>
      <c r="C26" s="2" t="s">
        <v>88</v>
      </c>
      <c r="D26" s="93"/>
      <c r="E26" s="3" t="s">
        <v>114</v>
      </c>
      <c r="F26" s="2" t="s">
        <v>88</v>
      </c>
      <c r="G26" s="20" t="s">
        <v>106</v>
      </c>
    </row>
    <row r="27" spans="2:95" ht="28" customHeight="1">
      <c r="B27" s="94"/>
      <c r="C27" s="2" t="s">
        <v>88</v>
      </c>
      <c r="D27" s="94"/>
      <c r="E27" s="3" t="s">
        <v>115</v>
      </c>
      <c r="F27" s="2" t="s">
        <v>88</v>
      </c>
      <c r="G27" s="20" t="s">
        <v>106</v>
      </c>
    </row>
    <row r="28" spans="2:95" ht="28" customHeight="1">
      <c r="B28" s="98" t="s">
        <v>116</v>
      </c>
      <c r="C28" s="2" t="s">
        <v>88</v>
      </c>
      <c r="D28" s="92" t="s">
        <v>117</v>
      </c>
      <c r="E28" s="3" t="s">
        <v>118</v>
      </c>
      <c r="F28" s="2" t="s">
        <v>88</v>
      </c>
      <c r="G28" s="19" t="s">
        <v>78</v>
      </c>
      <c r="BZ28" s="37"/>
      <c r="CA28" s="37"/>
      <c r="CB28" s="37"/>
      <c r="CC28" s="37"/>
      <c r="CD28" s="37"/>
      <c r="CE28" s="37"/>
      <c r="CF28" s="37"/>
    </row>
    <row r="29" spans="2:95" ht="28" customHeight="1">
      <c r="B29" s="93"/>
      <c r="C29" s="2" t="s">
        <v>88</v>
      </c>
      <c r="D29" s="93"/>
      <c r="E29" s="3" t="s">
        <v>228</v>
      </c>
      <c r="F29" s="2" t="s">
        <v>88</v>
      </c>
      <c r="G29" s="19" t="s">
        <v>78</v>
      </c>
      <c r="BZ29" s="37"/>
      <c r="CA29" s="37"/>
      <c r="CB29" s="37"/>
      <c r="CC29" s="37"/>
      <c r="CD29" s="37"/>
      <c r="CE29" s="37"/>
      <c r="CF29" s="37"/>
    </row>
    <row r="30" spans="2:95" ht="28" customHeight="1">
      <c r="B30" s="93"/>
      <c r="C30" s="2" t="s">
        <v>88</v>
      </c>
      <c r="D30" s="94"/>
      <c r="E30" s="3" t="s">
        <v>229</v>
      </c>
      <c r="F30" s="2" t="s">
        <v>88</v>
      </c>
      <c r="G30" s="19" t="s">
        <v>78</v>
      </c>
      <c r="BZ30" s="37"/>
      <c r="CA30" s="37"/>
      <c r="CB30" s="37"/>
      <c r="CC30" s="37"/>
      <c r="CD30" s="37"/>
      <c r="CE30" s="37"/>
      <c r="CF30" s="37"/>
    </row>
    <row r="31" spans="2:95" ht="28" customHeight="1">
      <c r="B31" s="93"/>
      <c r="C31" s="2" t="s">
        <v>88</v>
      </c>
      <c r="D31" s="92" t="s">
        <v>119</v>
      </c>
      <c r="E31" s="3" t="s">
        <v>120</v>
      </c>
      <c r="F31" s="2" t="s">
        <v>88</v>
      </c>
      <c r="G31" s="19" t="s">
        <v>78</v>
      </c>
      <c r="CJ31" s="37"/>
      <c r="CK31" s="37"/>
      <c r="CL31" s="37"/>
      <c r="CM31" s="37"/>
      <c r="CN31" s="37"/>
      <c r="CO31" s="37"/>
      <c r="CP31" s="37"/>
      <c r="CQ31" s="37"/>
    </row>
    <row r="32" spans="2:95" ht="28" customHeight="1">
      <c r="B32" s="93"/>
      <c r="C32" s="2" t="s">
        <v>88</v>
      </c>
      <c r="D32" s="93"/>
      <c r="E32" s="3" t="s">
        <v>121</v>
      </c>
      <c r="F32" s="2" t="s">
        <v>88</v>
      </c>
      <c r="G32" s="19" t="s">
        <v>78</v>
      </c>
      <c r="CJ32" s="37"/>
      <c r="CK32" s="37"/>
      <c r="CL32" s="37"/>
      <c r="CM32" s="37"/>
      <c r="CN32" s="37"/>
      <c r="CO32" s="37"/>
      <c r="CP32" s="37"/>
      <c r="CQ32" s="37"/>
    </row>
    <row r="33" spans="2:131" ht="28" customHeight="1">
      <c r="B33" s="93"/>
      <c r="C33" s="2" t="s">
        <v>88</v>
      </c>
      <c r="D33" s="93"/>
      <c r="E33" s="3" t="s">
        <v>122</v>
      </c>
      <c r="F33" s="2" t="s">
        <v>88</v>
      </c>
      <c r="G33" s="19" t="s">
        <v>78</v>
      </c>
      <c r="CO33" s="37"/>
      <c r="CP33" s="37"/>
      <c r="CQ33" s="37"/>
      <c r="CR33" s="37"/>
      <c r="CS33" s="37"/>
      <c r="CT33" s="37"/>
      <c r="CU33" s="37"/>
    </row>
    <row r="34" spans="2:131" ht="28" customHeight="1">
      <c r="B34" s="93"/>
      <c r="C34" s="2" t="s">
        <v>88</v>
      </c>
      <c r="D34" s="94"/>
      <c r="E34" s="3" t="s">
        <v>123</v>
      </c>
      <c r="F34" s="2" t="s">
        <v>88</v>
      </c>
      <c r="G34" s="19" t="s">
        <v>78</v>
      </c>
      <c r="CO34" s="37"/>
      <c r="CP34" s="37"/>
      <c r="CQ34" s="37"/>
      <c r="CR34" s="37"/>
      <c r="CS34" s="37"/>
      <c r="CT34" s="37"/>
      <c r="CU34" s="37"/>
    </row>
    <row r="35" spans="2:131" ht="28" customHeight="1">
      <c r="B35" s="93"/>
      <c r="C35" s="2" t="s">
        <v>88</v>
      </c>
      <c r="D35" s="92" t="s">
        <v>124</v>
      </c>
      <c r="E35" s="12" t="s">
        <v>262</v>
      </c>
      <c r="F35" s="2" t="s">
        <v>88</v>
      </c>
      <c r="G35" s="46" t="s">
        <v>260</v>
      </c>
      <c r="DW35" s="47"/>
      <c r="DX35" s="47"/>
      <c r="DY35" s="47"/>
      <c r="DZ35" s="47"/>
      <c r="EA35" s="47"/>
    </row>
    <row r="36" spans="2:131" ht="28" customHeight="1">
      <c r="B36" s="93"/>
      <c r="C36" s="2" t="s">
        <v>88</v>
      </c>
      <c r="D36" s="93"/>
      <c r="E36" s="3" t="s">
        <v>125</v>
      </c>
      <c r="F36" s="2" t="s">
        <v>88</v>
      </c>
      <c r="G36" s="46" t="s">
        <v>260</v>
      </c>
      <c r="DW36" s="47"/>
      <c r="DX36" s="47"/>
      <c r="DY36" s="47"/>
      <c r="DZ36" s="47"/>
      <c r="EA36" s="47"/>
    </row>
    <row r="37" spans="2:131" ht="28" customHeight="1">
      <c r="B37" s="93"/>
      <c r="C37" s="2" t="s">
        <v>88</v>
      </c>
      <c r="D37" s="93"/>
      <c r="E37" s="3" t="s">
        <v>230</v>
      </c>
      <c r="F37" s="2" t="s">
        <v>88</v>
      </c>
      <c r="G37" s="46" t="s">
        <v>260</v>
      </c>
      <c r="DW37" s="47"/>
      <c r="DX37" s="47"/>
      <c r="DY37" s="47"/>
      <c r="DZ37" s="47"/>
      <c r="EA37" s="47"/>
    </row>
    <row r="38" spans="2:131" ht="28" customHeight="1">
      <c r="B38" s="94"/>
      <c r="C38" s="2" t="s">
        <v>88</v>
      </c>
      <c r="D38" s="94"/>
      <c r="E38" s="3" t="s">
        <v>126</v>
      </c>
      <c r="F38" s="2" t="s">
        <v>88</v>
      </c>
      <c r="G38" s="20" t="s">
        <v>106</v>
      </c>
    </row>
    <row r="39" spans="2:131" ht="28" customHeight="1">
      <c r="B39" s="104" t="s">
        <v>127</v>
      </c>
      <c r="C39" s="2" t="s">
        <v>88</v>
      </c>
      <c r="D39" s="92" t="s">
        <v>128</v>
      </c>
      <c r="E39" s="3" t="s">
        <v>226</v>
      </c>
      <c r="F39" s="2" t="s">
        <v>88</v>
      </c>
      <c r="G39" s="45" t="s">
        <v>259</v>
      </c>
      <c r="O39" s="37"/>
      <c r="P39" s="37"/>
      <c r="Q39" s="37"/>
      <c r="R39" s="37"/>
      <c r="S39" s="37"/>
      <c r="T39" s="37"/>
      <c r="U39" s="37"/>
      <c r="AC39" s="37"/>
      <c r="AD39" s="37"/>
      <c r="AE39" s="37"/>
      <c r="AF39" s="37"/>
      <c r="AG39" s="37"/>
    </row>
    <row r="40" spans="2:131" ht="28" customHeight="1">
      <c r="B40" s="105"/>
      <c r="C40" s="2" t="s">
        <v>88</v>
      </c>
      <c r="D40" s="93"/>
      <c r="E40" s="3" t="s">
        <v>233</v>
      </c>
      <c r="F40" s="2" t="s">
        <v>88</v>
      </c>
      <c r="G40" s="19" t="s">
        <v>78</v>
      </c>
      <c r="O40" s="37"/>
      <c r="P40" s="37"/>
      <c r="Q40" s="37"/>
      <c r="R40" s="37"/>
      <c r="S40" s="37"/>
      <c r="T40" s="37"/>
      <c r="U40" s="37"/>
      <c r="AC40" s="37"/>
      <c r="AD40" s="37"/>
      <c r="AE40" s="37"/>
      <c r="AF40" s="37"/>
      <c r="AG40" s="37"/>
    </row>
    <row r="41" spans="2:131" ht="28" customHeight="1">
      <c r="B41" s="105"/>
      <c r="C41" s="2" t="s">
        <v>88</v>
      </c>
      <c r="D41" s="94"/>
      <c r="E41" s="3" t="s">
        <v>221</v>
      </c>
      <c r="F41" s="2" t="s">
        <v>88</v>
      </c>
      <c r="G41" s="19" t="s">
        <v>78</v>
      </c>
      <c r="O41" s="38"/>
      <c r="P41" s="39"/>
      <c r="Q41" s="38"/>
      <c r="R41" s="38"/>
      <c r="S41" s="38"/>
      <c r="T41" s="38"/>
      <c r="U41" s="38"/>
      <c r="AC41" s="38"/>
      <c r="AD41" s="39"/>
      <c r="AE41" s="38"/>
      <c r="AF41" s="37"/>
      <c r="AG41" s="37"/>
    </row>
    <row r="42" spans="2:131" ht="28" customHeight="1">
      <c r="B42" s="105"/>
      <c r="C42" s="2" t="s">
        <v>88</v>
      </c>
      <c r="D42" s="92" t="s">
        <v>129</v>
      </c>
      <c r="E42" s="3" t="s">
        <v>222</v>
      </c>
      <c r="F42" s="2" t="s">
        <v>88</v>
      </c>
      <c r="G42" s="19" t="s">
        <v>78</v>
      </c>
      <c r="V42" s="13"/>
      <c r="W42" s="13"/>
      <c r="X42" s="13"/>
      <c r="Y42" s="13"/>
      <c r="Z42" s="13"/>
      <c r="AE42" s="13"/>
      <c r="AF42" s="13"/>
      <c r="AG42" s="13"/>
      <c r="AH42" s="13"/>
      <c r="AI42" s="13"/>
    </row>
    <row r="43" spans="2:131" ht="28" customHeight="1">
      <c r="B43" s="105"/>
      <c r="C43" s="2" t="s">
        <v>88</v>
      </c>
      <c r="D43" s="93"/>
      <c r="E43" s="3" t="s">
        <v>130</v>
      </c>
      <c r="F43" s="2" t="s">
        <v>88</v>
      </c>
      <c r="G43" s="19" t="s">
        <v>78</v>
      </c>
      <c r="V43" s="13"/>
      <c r="W43" s="13"/>
      <c r="X43" s="13"/>
      <c r="Y43" s="13"/>
      <c r="Z43" s="13"/>
      <c r="AE43" s="13"/>
      <c r="AF43" s="13"/>
      <c r="AG43" s="13"/>
      <c r="AH43" s="13"/>
      <c r="AI43" s="13"/>
    </row>
    <row r="44" spans="2:131" ht="28" customHeight="1">
      <c r="B44" s="105"/>
      <c r="C44" s="2" t="s">
        <v>88</v>
      </c>
      <c r="D44" s="94"/>
      <c r="E44" s="3" t="s">
        <v>223</v>
      </c>
      <c r="F44" s="2" t="s">
        <v>88</v>
      </c>
      <c r="G44" s="19" t="s">
        <v>78</v>
      </c>
      <c r="V44" s="13"/>
      <c r="W44" s="13"/>
      <c r="X44" s="13"/>
      <c r="Y44" s="13"/>
      <c r="Z44" s="13"/>
      <c r="AE44" s="13"/>
      <c r="AF44" s="13"/>
      <c r="AG44" s="13"/>
      <c r="AH44" s="13"/>
      <c r="AI44" s="13"/>
    </row>
    <row r="45" spans="2:131" ht="28" customHeight="1">
      <c r="B45" s="105"/>
      <c r="C45" s="2" t="s">
        <v>88</v>
      </c>
      <c r="D45" s="100" t="s">
        <v>131</v>
      </c>
      <c r="E45" s="3" t="s">
        <v>232</v>
      </c>
      <c r="F45" s="2" t="s">
        <v>88</v>
      </c>
      <c r="G45" s="19" t="s">
        <v>78</v>
      </c>
      <c r="DF45" s="41"/>
      <c r="DG45" s="41"/>
      <c r="DH45" s="41"/>
      <c r="DI45" s="41"/>
      <c r="DJ45" s="41"/>
      <c r="DK45" s="41" t="s">
        <v>268</v>
      </c>
      <c r="DL45" s="41"/>
      <c r="DM45" s="41"/>
    </row>
    <row r="46" spans="2:131" ht="28" customHeight="1">
      <c r="B46" s="105"/>
      <c r="C46" s="2" t="s">
        <v>88</v>
      </c>
      <c r="D46" s="101"/>
      <c r="E46" s="3" t="s">
        <v>217</v>
      </c>
      <c r="F46" s="2" t="s">
        <v>88</v>
      </c>
      <c r="G46" s="19" t="s">
        <v>78</v>
      </c>
      <c r="DM46" s="41"/>
      <c r="DN46" s="41"/>
      <c r="DO46" s="41"/>
      <c r="DP46" s="41"/>
      <c r="DQ46" s="41"/>
      <c r="DR46" s="41" t="s">
        <v>268</v>
      </c>
      <c r="DU46" s="41"/>
      <c r="DV46" s="41"/>
      <c r="DW46" s="41"/>
      <c r="DX46" s="41"/>
    </row>
    <row r="47" spans="2:131" ht="28" customHeight="1">
      <c r="B47" s="105"/>
      <c r="C47" s="2" t="s">
        <v>88</v>
      </c>
      <c r="D47" s="101"/>
      <c r="E47" s="3" t="s">
        <v>218</v>
      </c>
      <c r="F47" s="2" t="s">
        <v>88</v>
      </c>
      <c r="G47" s="19" t="s">
        <v>78</v>
      </c>
      <c r="DM47" s="41"/>
      <c r="DN47" s="41"/>
      <c r="DO47" s="41"/>
      <c r="DP47" s="41"/>
      <c r="DQ47" s="41"/>
      <c r="DR47" s="41" t="s">
        <v>268</v>
      </c>
      <c r="DU47" s="41"/>
      <c r="DV47" s="41"/>
      <c r="DW47" s="41"/>
      <c r="DX47" s="41"/>
    </row>
    <row r="48" spans="2:131" ht="28" customHeight="1">
      <c r="B48" s="105"/>
      <c r="C48" s="2" t="s">
        <v>88</v>
      </c>
      <c r="D48" s="101"/>
      <c r="E48" s="3" t="s">
        <v>219</v>
      </c>
      <c r="F48" s="2" t="s">
        <v>88</v>
      </c>
      <c r="G48" s="19" t="s">
        <v>78</v>
      </c>
      <c r="DM48" s="41"/>
      <c r="DN48" s="41"/>
      <c r="DO48" s="41"/>
      <c r="DP48" s="41"/>
      <c r="DQ48" s="41"/>
      <c r="DR48" s="41" t="s">
        <v>268</v>
      </c>
      <c r="DU48" s="41"/>
      <c r="DV48" s="41"/>
      <c r="DW48" s="41"/>
      <c r="DX48" s="41"/>
    </row>
    <row r="49" spans="2:128" ht="28" customHeight="1">
      <c r="B49" s="105"/>
      <c r="C49" s="2" t="s">
        <v>88</v>
      </c>
      <c r="D49" s="101"/>
      <c r="E49" s="3" t="s">
        <v>220</v>
      </c>
      <c r="F49" s="2" t="s">
        <v>88</v>
      </c>
      <c r="G49" s="19" t="s">
        <v>78</v>
      </c>
      <c r="DM49" s="41"/>
      <c r="DN49" s="41"/>
      <c r="DO49" s="41"/>
      <c r="DP49" s="41"/>
      <c r="DQ49" s="41"/>
      <c r="DR49" s="41" t="s">
        <v>268</v>
      </c>
      <c r="DU49" s="41"/>
      <c r="DV49" s="41"/>
      <c r="DW49" s="41"/>
      <c r="DX49" s="41"/>
    </row>
    <row r="50" spans="2:128" ht="28" customHeight="1">
      <c r="B50" s="105"/>
      <c r="C50" s="2" t="s">
        <v>88</v>
      </c>
      <c r="D50" s="102"/>
      <c r="E50" s="3" t="s">
        <v>263</v>
      </c>
      <c r="F50" s="2" t="s">
        <v>88</v>
      </c>
      <c r="G50" s="21" t="s">
        <v>209</v>
      </c>
    </row>
    <row r="51" spans="2:128" ht="28" customHeight="1">
      <c r="B51" s="105"/>
      <c r="C51" s="2" t="s">
        <v>88</v>
      </c>
      <c r="D51" s="92" t="s">
        <v>132</v>
      </c>
      <c r="E51" s="3" t="s">
        <v>133</v>
      </c>
      <c r="F51" s="2" t="s">
        <v>88</v>
      </c>
      <c r="G51" s="21" t="s">
        <v>209</v>
      </c>
    </row>
    <row r="52" spans="2:128" ht="28" customHeight="1">
      <c r="B52" s="105"/>
      <c r="C52" s="2" t="s">
        <v>88</v>
      </c>
      <c r="D52" s="93"/>
      <c r="E52" s="3" t="s">
        <v>134</v>
      </c>
      <c r="F52" s="2" t="s">
        <v>88</v>
      </c>
      <c r="G52" s="21" t="s">
        <v>209</v>
      </c>
    </row>
    <row r="53" spans="2:128" ht="28" customHeight="1">
      <c r="B53" s="105"/>
      <c r="C53" s="2" t="s">
        <v>88</v>
      </c>
      <c r="D53" s="93"/>
      <c r="E53" s="3" t="s">
        <v>135</v>
      </c>
      <c r="F53" s="2" t="s">
        <v>88</v>
      </c>
      <c r="G53" s="20" t="s">
        <v>106</v>
      </c>
    </row>
    <row r="54" spans="2:128" ht="28" customHeight="1">
      <c r="B54" s="105"/>
      <c r="C54" s="2" t="s">
        <v>88</v>
      </c>
      <c r="D54" s="94"/>
      <c r="E54" s="3" t="s">
        <v>136</v>
      </c>
      <c r="F54" s="2" t="s">
        <v>88</v>
      </c>
      <c r="G54" s="20" t="s">
        <v>106</v>
      </c>
    </row>
    <row r="55" spans="2:128" ht="28" customHeight="1">
      <c r="B55" s="105"/>
      <c r="C55" s="2" t="s">
        <v>88</v>
      </c>
      <c r="D55" s="92" t="s">
        <v>137</v>
      </c>
      <c r="E55" s="3" t="s">
        <v>138</v>
      </c>
      <c r="F55" s="2" t="s">
        <v>88</v>
      </c>
      <c r="G55" s="20" t="s">
        <v>106</v>
      </c>
    </row>
    <row r="56" spans="2:128" ht="28" customHeight="1">
      <c r="B56" s="105"/>
      <c r="C56" s="2" t="s">
        <v>88</v>
      </c>
      <c r="D56" s="93"/>
      <c r="E56" s="3" t="s">
        <v>139</v>
      </c>
      <c r="F56" s="2" t="s">
        <v>88</v>
      </c>
      <c r="G56" s="20" t="s">
        <v>106</v>
      </c>
    </row>
    <row r="57" spans="2:128" ht="28" customHeight="1">
      <c r="B57" s="105"/>
      <c r="C57" s="2" t="s">
        <v>88</v>
      </c>
      <c r="D57" s="94"/>
      <c r="E57" s="3" t="s">
        <v>140</v>
      </c>
      <c r="F57" s="2" t="s">
        <v>88</v>
      </c>
      <c r="G57" s="20" t="s">
        <v>106</v>
      </c>
    </row>
    <row r="58" spans="2:128" ht="28" customHeight="1">
      <c r="B58" s="105"/>
      <c r="C58" s="2" t="s">
        <v>88</v>
      </c>
      <c r="D58" s="92" t="s">
        <v>141</v>
      </c>
      <c r="E58" s="3" t="s">
        <v>142</v>
      </c>
      <c r="F58" s="2" t="s">
        <v>88</v>
      </c>
      <c r="G58" s="20" t="s">
        <v>106</v>
      </c>
    </row>
    <row r="59" spans="2:128" ht="28" customHeight="1">
      <c r="B59" s="105"/>
      <c r="C59" s="2" t="s">
        <v>88</v>
      </c>
      <c r="D59" s="93"/>
      <c r="E59" s="3" t="s">
        <v>143</v>
      </c>
      <c r="F59" s="2" t="s">
        <v>88</v>
      </c>
      <c r="G59" s="20" t="s">
        <v>106</v>
      </c>
    </row>
    <row r="60" spans="2:128" ht="28" customHeight="1">
      <c r="B60" s="106"/>
      <c r="C60" s="2" t="s">
        <v>88</v>
      </c>
      <c r="D60" s="94"/>
      <c r="E60" s="3" t="s">
        <v>144</v>
      </c>
      <c r="F60" s="2" t="s">
        <v>88</v>
      </c>
      <c r="G60" s="20" t="s">
        <v>106</v>
      </c>
    </row>
    <row r="61" spans="2:128" ht="28" customHeight="1">
      <c r="B61" s="107" t="s">
        <v>145</v>
      </c>
      <c r="C61" s="2" t="s">
        <v>146</v>
      </c>
      <c r="D61" s="92" t="s">
        <v>147</v>
      </c>
      <c r="E61" s="3" t="s">
        <v>148</v>
      </c>
      <c r="F61" s="2" t="s">
        <v>146</v>
      </c>
      <c r="G61" s="19" t="s">
        <v>78</v>
      </c>
      <c r="DK61" s="17"/>
      <c r="DL61" s="17"/>
      <c r="DM61" s="17"/>
      <c r="DN61" s="17"/>
    </row>
    <row r="62" spans="2:128" ht="28" customHeight="1">
      <c r="B62" s="108"/>
      <c r="C62" s="2" t="s">
        <v>146</v>
      </c>
      <c r="D62" s="93"/>
      <c r="E62" s="3" t="s">
        <v>149</v>
      </c>
      <c r="F62" s="2" t="s">
        <v>146</v>
      </c>
      <c r="G62" s="19" t="s">
        <v>78</v>
      </c>
      <c r="DK62" s="17"/>
      <c r="DL62" s="17"/>
      <c r="DM62" s="17"/>
      <c r="DN62" s="17"/>
    </row>
    <row r="63" spans="2:128" ht="28" customHeight="1">
      <c r="B63" s="108"/>
      <c r="C63" s="2" t="s">
        <v>146</v>
      </c>
      <c r="D63" s="94"/>
      <c r="E63" s="3" t="s">
        <v>150</v>
      </c>
      <c r="F63" s="2" t="s">
        <v>146</v>
      </c>
      <c r="G63" s="19" t="s">
        <v>78</v>
      </c>
      <c r="DK63" s="17"/>
      <c r="DL63" s="17"/>
      <c r="DM63" s="17"/>
      <c r="DN63" s="40"/>
    </row>
    <row r="64" spans="2:128" ht="28" customHeight="1">
      <c r="B64" s="108"/>
      <c r="C64" s="2" t="s">
        <v>146</v>
      </c>
      <c r="D64" s="92" t="s">
        <v>151</v>
      </c>
      <c r="E64" s="3" t="s">
        <v>152</v>
      </c>
      <c r="F64" s="2" t="s">
        <v>146</v>
      </c>
      <c r="G64" s="19" t="s">
        <v>78</v>
      </c>
      <c r="DN64" s="17"/>
      <c r="DO64" s="17"/>
      <c r="DP64" s="17"/>
      <c r="DQ64" s="17"/>
      <c r="DR64" s="17"/>
    </row>
    <row r="65" spans="2:134" ht="28" customHeight="1">
      <c r="B65" s="108"/>
      <c r="C65" s="2" t="s">
        <v>146</v>
      </c>
      <c r="D65" s="93"/>
      <c r="E65" s="3" t="s">
        <v>153</v>
      </c>
      <c r="F65" s="2" t="s">
        <v>146</v>
      </c>
      <c r="G65" s="19" t="s">
        <v>78</v>
      </c>
      <c r="DN65" s="17"/>
      <c r="DO65" s="17"/>
      <c r="DP65" s="17"/>
      <c r="DQ65" s="17"/>
      <c r="DR65" s="17"/>
    </row>
    <row r="66" spans="2:134" ht="28" customHeight="1">
      <c r="B66" s="108"/>
      <c r="C66" s="2" t="s">
        <v>146</v>
      </c>
      <c r="D66" s="94"/>
      <c r="E66" s="3" t="s">
        <v>154</v>
      </c>
      <c r="F66" s="2" t="s">
        <v>146</v>
      </c>
      <c r="G66" s="20" t="s">
        <v>106</v>
      </c>
    </row>
    <row r="67" spans="2:134" ht="28" customHeight="1">
      <c r="B67" s="108"/>
      <c r="C67" s="2" t="s">
        <v>146</v>
      </c>
      <c r="D67" s="100" t="s">
        <v>155</v>
      </c>
      <c r="E67" s="3" t="s">
        <v>156</v>
      </c>
      <c r="F67" s="2" t="s">
        <v>146</v>
      </c>
      <c r="G67" s="21" t="s">
        <v>209</v>
      </c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</row>
    <row r="68" spans="2:134" ht="28" customHeight="1">
      <c r="B68" s="108"/>
      <c r="C68" s="2" t="s">
        <v>146</v>
      </c>
      <c r="D68" s="101"/>
      <c r="E68" s="3" t="s">
        <v>157</v>
      </c>
      <c r="F68" s="2" t="s">
        <v>146</v>
      </c>
      <c r="G68" s="20" t="s">
        <v>106</v>
      </c>
    </row>
    <row r="69" spans="2:134" ht="28" customHeight="1">
      <c r="B69" s="109"/>
      <c r="C69" s="2" t="s">
        <v>146</v>
      </c>
      <c r="D69" s="102"/>
      <c r="E69" s="3" t="s">
        <v>231</v>
      </c>
      <c r="F69" s="2" t="s">
        <v>146</v>
      </c>
      <c r="G69" s="45" t="s">
        <v>259</v>
      </c>
      <c r="EB69" s="17"/>
      <c r="EC69" s="17"/>
      <c r="ED69" s="17"/>
    </row>
    <row r="70" spans="2:134" ht="28" customHeight="1">
      <c r="B70" s="107" t="s">
        <v>158</v>
      </c>
      <c r="C70" s="2" t="s">
        <v>146</v>
      </c>
      <c r="D70" s="92" t="s">
        <v>159</v>
      </c>
      <c r="E70" s="3" t="s">
        <v>160</v>
      </c>
      <c r="F70" s="2" t="s">
        <v>146</v>
      </c>
      <c r="G70" s="20" t="s">
        <v>106</v>
      </c>
    </row>
    <row r="71" spans="2:134" ht="28" customHeight="1">
      <c r="B71" s="108"/>
      <c r="C71" s="2" t="s">
        <v>146</v>
      </c>
      <c r="D71" s="94"/>
      <c r="E71" s="3" t="s">
        <v>161</v>
      </c>
      <c r="F71" s="2" t="s">
        <v>146</v>
      </c>
      <c r="G71" s="20" t="s">
        <v>106</v>
      </c>
    </row>
    <row r="72" spans="2:134" ht="28" customHeight="1">
      <c r="B72" s="108"/>
      <c r="C72" s="2" t="s">
        <v>146</v>
      </c>
      <c r="D72" s="92" t="s">
        <v>162</v>
      </c>
      <c r="E72" s="3" t="s">
        <v>163</v>
      </c>
      <c r="F72" s="2" t="s">
        <v>146</v>
      </c>
      <c r="G72" s="21" t="s">
        <v>209</v>
      </c>
      <c r="DR72" s="17"/>
      <c r="DS72" s="17"/>
      <c r="DT72" s="17"/>
      <c r="DU72" s="17"/>
      <c r="DV72" s="17"/>
      <c r="DW72" s="17"/>
      <c r="DX72" s="17"/>
      <c r="DY72" s="17"/>
    </row>
    <row r="73" spans="2:134" ht="28" customHeight="1">
      <c r="B73" s="108"/>
      <c r="C73" s="2" t="s">
        <v>146</v>
      </c>
      <c r="D73" s="93"/>
      <c r="E73" s="3" t="s">
        <v>164</v>
      </c>
      <c r="F73" s="2" t="s">
        <v>146</v>
      </c>
      <c r="G73" s="45" t="s">
        <v>259</v>
      </c>
      <c r="DR73" s="17"/>
      <c r="DS73" s="17"/>
      <c r="DT73" s="17"/>
      <c r="DU73" s="17"/>
      <c r="DV73" s="17"/>
      <c r="DW73" s="17"/>
      <c r="DX73" s="17"/>
      <c r="DY73" s="17"/>
    </row>
    <row r="74" spans="2:134" ht="28" customHeight="1">
      <c r="B74" s="108"/>
      <c r="C74" s="2" t="s">
        <v>146</v>
      </c>
      <c r="D74" s="94"/>
      <c r="E74" s="3" t="s">
        <v>165</v>
      </c>
      <c r="F74" s="2" t="s">
        <v>146</v>
      </c>
      <c r="G74" s="45" t="s">
        <v>259</v>
      </c>
      <c r="DR74" s="17"/>
      <c r="DS74" s="17"/>
      <c r="DT74" s="17"/>
      <c r="DU74" s="17"/>
      <c r="DV74" s="17"/>
      <c r="DW74" s="17"/>
      <c r="DX74" s="17"/>
      <c r="DY74" s="40"/>
    </row>
    <row r="75" spans="2:134" ht="28" customHeight="1">
      <c r="B75" s="108"/>
      <c r="C75" s="2" t="s">
        <v>146</v>
      </c>
      <c r="D75" s="92" t="s">
        <v>166</v>
      </c>
      <c r="E75" s="3" t="s">
        <v>167</v>
      </c>
      <c r="F75" s="2" t="s">
        <v>146</v>
      </c>
      <c r="G75" s="21" t="s">
        <v>209</v>
      </c>
      <c r="DY75" s="17"/>
      <c r="DZ75" s="17"/>
      <c r="EA75" s="17"/>
      <c r="EB75" s="17"/>
    </row>
    <row r="76" spans="2:134" ht="28" customHeight="1">
      <c r="B76" s="108"/>
      <c r="C76" s="2" t="s">
        <v>146</v>
      </c>
      <c r="D76" s="93"/>
      <c r="E76" s="3" t="s">
        <v>168</v>
      </c>
      <c r="F76" s="2" t="s">
        <v>146</v>
      </c>
      <c r="G76" s="45" t="s">
        <v>259</v>
      </c>
    </row>
    <row r="77" spans="2:134" ht="28" customHeight="1">
      <c r="B77" s="108"/>
      <c r="C77" s="2" t="s">
        <v>146</v>
      </c>
      <c r="D77" s="94"/>
      <c r="E77" s="3" t="s">
        <v>169</v>
      </c>
      <c r="F77" s="2" t="s">
        <v>146</v>
      </c>
      <c r="G77" s="20" t="s">
        <v>106</v>
      </c>
    </row>
    <row r="78" spans="2:134" ht="28" customHeight="1">
      <c r="B78" s="108"/>
      <c r="C78" s="2" t="s">
        <v>146</v>
      </c>
      <c r="D78" s="100" t="s">
        <v>170</v>
      </c>
      <c r="E78" s="3" t="s">
        <v>171</v>
      </c>
      <c r="F78" s="2" t="s">
        <v>146</v>
      </c>
      <c r="G78" s="21" t="s">
        <v>209</v>
      </c>
      <c r="DU78" s="17"/>
      <c r="DV78" s="17"/>
      <c r="DW78" s="17"/>
      <c r="DX78" s="17"/>
      <c r="DY78" s="17"/>
      <c r="DZ78" s="17"/>
      <c r="EA78" s="17"/>
      <c r="EB78" s="17"/>
    </row>
    <row r="79" spans="2:134" ht="28" customHeight="1">
      <c r="B79" s="108"/>
      <c r="C79" s="2" t="s">
        <v>146</v>
      </c>
      <c r="D79" s="101"/>
      <c r="E79" s="3" t="s">
        <v>172</v>
      </c>
      <c r="F79" s="2" t="s">
        <v>146</v>
      </c>
      <c r="G79" s="21" t="s">
        <v>209</v>
      </c>
      <c r="DU79" s="17"/>
      <c r="DV79" s="17"/>
      <c r="DW79" s="17"/>
      <c r="DX79" s="17"/>
      <c r="DY79" s="40"/>
      <c r="DZ79" s="40"/>
      <c r="EA79" s="40"/>
      <c r="EB79" s="40"/>
    </row>
    <row r="80" spans="2:134" ht="28" customHeight="1">
      <c r="B80" s="108"/>
      <c r="C80" s="2" t="s">
        <v>146</v>
      </c>
      <c r="D80" s="102"/>
      <c r="E80" s="3" t="s">
        <v>245</v>
      </c>
      <c r="F80" s="2" t="s">
        <v>146</v>
      </c>
      <c r="G80" s="21" t="s">
        <v>209</v>
      </c>
      <c r="DY80" s="40"/>
      <c r="DZ80" s="40"/>
      <c r="EA80" s="40"/>
      <c r="EB80" s="40"/>
      <c r="EC80" s="17"/>
      <c r="ED80" s="17"/>
    </row>
    <row r="81" spans="2:132" ht="28" customHeight="1">
      <c r="B81" s="108"/>
      <c r="C81" s="2" t="s">
        <v>146</v>
      </c>
      <c r="D81" s="92" t="s">
        <v>173</v>
      </c>
      <c r="E81" s="3" t="s">
        <v>174</v>
      </c>
      <c r="F81" s="2" t="s">
        <v>146</v>
      </c>
      <c r="G81" s="21" t="s">
        <v>209</v>
      </c>
      <c r="DY81" s="17"/>
      <c r="DZ81" s="17"/>
      <c r="EA81" s="17"/>
      <c r="EB81" s="17"/>
    </row>
    <row r="82" spans="2:132" ht="28" customHeight="1">
      <c r="B82" s="109"/>
      <c r="C82" s="2" t="s">
        <v>146</v>
      </c>
      <c r="D82" s="94"/>
      <c r="E82" s="3" t="s">
        <v>175</v>
      </c>
      <c r="F82" s="2" t="s">
        <v>146</v>
      </c>
      <c r="G82" s="21" t="s">
        <v>209</v>
      </c>
      <c r="DY82" s="17"/>
      <c r="DZ82" s="17"/>
      <c r="EA82" s="17"/>
      <c r="EB82" s="17"/>
    </row>
    <row r="83" spans="2:132" ht="28" customHeight="1">
      <c r="B83" s="98" t="s">
        <v>176</v>
      </c>
      <c r="C83" s="2" t="s">
        <v>75</v>
      </c>
      <c r="D83" s="92" t="s">
        <v>177</v>
      </c>
      <c r="E83" s="3" t="s">
        <v>178</v>
      </c>
      <c r="F83" s="2" t="s">
        <v>75</v>
      </c>
      <c r="G83" s="20" t="s">
        <v>106</v>
      </c>
      <c r="BS83" s="41"/>
      <c r="BT83" s="41"/>
      <c r="BU83" s="41"/>
      <c r="BV83" s="41"/>
      <c r="BW83" s="41"/>
      <c r="BX83" s="41"/>
      <c r="BY83" s="41"/>
      <c r="BZ83" s="41"/>
    </row>
    <row r="84" spans="2:132" ht="28" customHeight="1">
      <c r="B84" s="93"/>
      <c r="C84" s="2" t="s">
        <v>88</v>
      </c>
      <c r="D84" s="93"/>
      <c r="E84" s="3" t="s">
        <v>179</v>
      </c>
      <c r="F84" s="2" t="s">
        <v>88</v>
      </c>
      <c r="G84" s="20" t="s">
        <v>106</v>
      </c>
      <c r="BS84" s="37"/>
      <c r="BT84" s="37"/>
      <c r="BU84" s="37"/>
      <c r="BV84" s="37"/>
      <c r="BW84" s="37"/>
      <c r="BX84" s="37"/>
      <c r="BY84" s="37"/>
      <c r="BZ84" s="37"/>
    </row>
    <row r="85" spans="2:132" ht="28" customHeight="1">
      <c r="B85" s="93"/>
      <c r="C85" s="2" t="s">
        <v>75</v>
      </c>
      <c r="D85" s="94"/>
      <c r="E85" s="3" t="s">
        <v>180</v>
      </c>
      <c r="F85" s="2" t="s">
        <v>75</v>
      </c>
      <c r="G85" s="20" t="s">
        <v>106</v>
      </c>
      <c r="BS85" s="41"/>
      <c r="BT85" s="41"/>
      <c r="BU85" s="41"/>
      <c r="BV85" s="41"/>
      <c r="BW85" s="41"/>
      <c r="BX85" s="41"/>
      <c r="BY85" s="41"/>
      <c r="BZ85" s="41"/>
    </row>
    <row r="86" spans="2:132" ht="28" customHeight="1">
      <c r="B86" s="94"/>
      <c r="C86" s="2" t="s">
        <v>75</v>
      </c>
      <c r="D86" s="2" t="s">
        <v>181</v>
      </c>
      <c r="E86" s="3" t="s">
        <v>182</v>
      </c>
      <c r="F86" s="2" t="s">
        <v>75</v>
      </c>
      <c r="G86" s="20" t="s">
        <v>106</v>
      </c>
      <c r="BZ86" s="41"/>
      <c r="CA86" s="41"/>
      <c r="CB86" s="41"/>
      <c r="CC86" s="41"/>
      <c r="CD86" s="41"/>
      <c r="CE86" s="41"/>
      <c r="CF86" s="41"/>
      <c r="CG86" s="41"/>
    </row>
    <row r="87" spans="2:132" ht="28" customHeight="1">
      <c r="B87" s="98" t="s">
        <v>183</v>
      </c>
      <c r="C87" s="2" t="s">
        <v>88</v>
      </c>
      <c r="D87" s="92" t="s">
        <v>184</v>
      </c>
      <c r="E87" s="3" t="s">
        <v>185</v>
      </c>
      <c r="F87" s="2" t="s">
        <v>88</v>
      </c>
      <c r="G87" s="20" t="s">
        <v>106</v>
      </c>
      <c r="BZ87" s="37"/>
      <c r="CA87" s="37"/>
      <c r="CB87" s="37"/>
      <c r="CC87" s="37"/>
      <c r="CD87" s="37"/>
      <c r="CE87" s="37"/>
      <c r="CF87" s="37"/>
      <c r="CG87" s="37"/>
    </row>
    <row r="88" spans="2:132" ht="28" customHeight="1">
      <c r="B88" s="93"/>
      <c r="C88" s="2" t="s">
        <v>88</v>
      </c>
      <c r="D88" s="93"/>
      <c r="E88" s="3" t="s">
        <v>186</v>
      </c>
      <c r="F88" s="2" t="s">
        <v>88</v>
      </c>
      <c r="G88" s="20" t="s">
        <v>106</v>
      </c>
      <c r="BZ88" s="37"/>
      <c r="CA88" s="37"/>
      <c r="CB88" s="37"/>
      <c r="CC88" s="37"/>
      <c r="CD88" s="37"/>
      <c r="CE88" s="37"/>
      <c r="CF88" s="37"/>
      <c r="CG88" s="37"/>
    </row>
    <row r="89" spans="2:132" ht="28" customHeight="1">
      <c r="B89" s="93"/>
      <c r="C89" s="2" t="s">
        <v>146</v>
      </c>
      <c r="D89" s="93"/>
      <c r="E89" s="3" t="s">
        <v>187</v>
      </c>
      <c r="F89" s="2" t="s">
        <v>146</v>
      </c>
      <c r="G89" s="20" t="s">
        <v>106</v>
      </c>
      <c r="BZ89" s="17"/>
      <c r="CA89" s="17"/>
      <c r="CB89" s="17"/>
      <c r="CC89" s="17"/>
      <c r="CD89" s="17"/>
      <c r="CE89" s="17"/>
      <c r="CF89" s="17"/>
      <c r="CG89" s="17"/>
    </row>
    <row r="90" spans="2:132" ht="28" customHeight="1">
      <c r="B90" s="93"/>
      <c r="C90" s="2" t="s">
        <v>88</v>
      </c>
      <c r="D90" s="93"/>
      <c r="E90" s="3" t="s">
        <v>188</v>
      </c>
      <c r="F90" s="2" t="s">
        <v>88</v>
      </c>
      <c r="G90" s="20" t="s">
        <v>106</v>
      </c>
      <c r="BZ90" s="37"/>
      <c r="CA90" s="37"/>
      <c r="CB90" s="37"/>
      <c r="CC90" s="37"/>
      <c r="CD90" s="37"/>
      <c r="CE90" s="37"/>
      <c r="CF90" s="37"/>
      <c r="CG90" s="37"/>
    </row>
    <row r="91" spans="2:132" ht="28" customHeight="1">
      <c r="B91" s="94"/>
      <c r="C91" s="2" t="s">
        <v>88</v>
      </c>
      <c r="D91" s="94"/>
      <c r="E91" s="3" t="s">
        <v>189</v>
      </c>
      <c r="F91" s="2" t="s">
        <v>88</v>
      </c>
      <c r="G91" s="20" t="s">
        <v>106</v>
      </c>
      <c r="BZ91" s="37"/>
      <c r="CA91" s="37"/>
      <c r="CB91" s="37"/>
      <c r="CC91" s="37"/>
      <c r="CD91" s="37"/>
      <c r="CE91" s="37"/>
      <c r="CF91" s="37"/>
      <c r="CG91" s="37"/>
    </row>
    <row r="92" spans="2:132" ht="28" customHeight="1">
      <c r="B92" s="98" t="s">
        <v>190</v>
      </c>
      <c r="C92" s="2" t="s">
        <v>75</v>
      </c>
      <c r="D92" s="92" t="s">
        <v>191</v>
      </c>
      <c r="E92" s="3" t="s">
        <v>192</v>
      </c>
      <c r="F92" s="2" t="s">
        <v>75</v>
      </c>
      <c r="G92" s="18" t="s">
        <v>78</v>
      </c>
      <c r="O92" s="41"/>
      <c r="P92" s="41"/>
      <c r="Q92" s="41"/>
    </row>
    <row r="93" spans="2:132" ht="28" customHeight="1">
      <c r="B93" s="93"/>
      <c r="C93" s="2" t="s">
        <v>75</v>
      </c>
      <c r="D93" s="93"/>
      <c r="E93" s="3" t="s">
        <v>193</v>
      </c>
      <c r="F93" s="2" t="s">
        <v>75</v>
      </c>
      <c r="G93" s="20" t="s">
        <v>106</v>
      </c>
      <c r="CN93" s="41"/>
      <c r="CO93" s="41"/>
      <c r="CP93" s="41"/>
      <c r="CQ93" s="41"/>
      <c r="CR93" s="41"/>
      <c r="CS93" s="41"/>
      <c r="CT93" s="41"/>
      <c r="CU93" s="41"/>
    </row>
    <row r="94" spans="2:132" ht="28" customHeight="1">
      <c r="B94" s="93"/>
      <c r="C94" s="2" t="s">
        <v>75</v>
      </c>
      <c r="D94" s="94"/>
      <c r="E94" s="3" t="s">
        <v>194</v>
      </c>
      <c r="F94" s="2" t="s">
        <v>75</v>
      </c>
      <c r="G94" s="20" t="s">
        <v>106</v>
      </c>
      <c r="CN94" s="41"/>
      <c r="CO94" s="41"/>
      <c r="CP94" s="41"/>
      <c r="CQ94" s="41"/>
      <c r="CR94" s="41"/>
      <c r="CS94" s="41"/>
      <c r="CT94" s="41"/>
      <c r="CU94" s="41"/>
    </row>
    <row r="95" spans="2:132" ht="28" customHeight="1">
      <c r="B95" s="93"/>
      <c r="C95" s="2" t="s">
        <v>75</v>
      </c>
      <c r="D95" s="92" t="s">
        <v>195</v>
      </c>
      <c r="E95" s="3" t="s">
        <v>196</v>
      </c>
      <c r="F95" s="2" t="s">
        <v>75</v>
      </c>
      <c r="G95" s="20" t="s">
        <v>106</v>
      </c>
      <c r="CN95" s="41"/>
      <c r="CO95" s="41"/>
      <c r="CP95" s="41"/>
      <c r="CQ95" s="41"/>
      <c r="CR95" s="41"/>
      <c r="CS95" s="41"/>
      <c r="CT95" s="41"/>
      <c r="CU95" s="41"/>
    </row>
    <row r="96" spans="2:132" ht="28" customHeight="1">
      <c r="B96" s="93"/>
      <c r="C96" s="2" t="s">
        <v>88</v>
      </c>
      <c r="D96" s="93"/>
      <c r="E96" s="3" t="s">
        <v>197</v>
      </c>
      <c r="F96" s="2" t="s">
        <v>88</v>
      </c>
      <c r="G96" s="20" t="s">
        <v>106</v>
      </c>
      <c r="CN96" s="37"/>
      <c r="CO96" s="37"/>
      <c r="CP96" s="37"/>
      <c r="CQ96" s="37"/>
      <c r="CR96" s="37"/>
      <c r="CS96" s="37"/>
      <c r="CT96" s="37"/>
      <c r="CU96" s="37"/>
    </row>
    <row r="97" spans="2:99" ht="28" customHeight="1">
      <c r="B97" s="94"/>
      <c r="C97" s="2" t="s">
        <v>75</v>
      </c>
      <c r="D97" s="94"/>
      <c r="E97" s="3" t="s">
        <v>198</v>
      </c>
      <c r="F97" s="2" t="s">
        <v>75</v>
      </c>
      <c r="G97" s="20" t="s">
        <v>106</v>
      </c>
      <c r="CN97" s="41"/>
      <c r="CO97" s="41"/>
      <c r="CP97" s="41"/>
      <c r="CQ97" s="41"/>
      <c r="CR97" s="41"/>
      <c r="CS97" s="41"/>
      <c r="CT97" s="41"/>
      <c r="CU97" s="41"/>
    </row>
    <row r="99" spans="2:99">
      <c r="B99" s="103" t="s">
        <v>249</v>
      </c>
      <c r="C99" s="103"/>
      <c r="D99" s="103"/>
      <c r="E99" s="103"/>
      <c r="F99" s="103"/>
      <c r="G99" s="103"/>
    </row>
    <row r="100" spans="2:99" ht="18">
      <c r="B100" s="30"/>
      <c r="C100" s="30"/>
      <c r="D100" s="30"/>
      <c r="E100" s="29" t="s">
        <v>251</v>
      </c>
      <c r="F100" s="30"/>
      <c r="G100" s="32">
        <v>0.5</v>
      </c>
    </row>
    <row r="101" spans="2:99" ht="18">
      <c r="B101" s="30"/>
      <c r="C101" s="30"/>
      <c r="D101" s="30"/>
      <c r="E101" s="29" t="s">
        <v>244</v>
      </c>
      <c r="F101" s="30"/>
      <c r="G101" s="36">
        <f>($G$107+$G$108*$G$100)/$G$106</f>
        <v>0.55319148936170215</v>
      </c>
    </row>
    <row r="102" spans="2:99" ht="18">
      <c r="B102" s="30"/>
      <c r="C102" s="30"/>
      <c r="D102" s="30"/>
      <c r="E102" s="29" t="s">
        <v>252</v>
      </c>
      <c r="F102" s="30"/>
      <c r="G102" s="33">
        <f>(COUNTIFS($F$4:$F$97,"BE",$G$4:$G$97,"완료")+COUNTIFS($F$4:$F$97,"BE",$G$4:$G$97,"진행중")*$G$100)/COUNTIF($F$4:$F$97,"BE")</f>
        <v>0.53703703703703709</v>
      </c>
    </row>
    <row r="103" spans="2:99" ht="18">
      <c r="B103" s="30"/>
      <c r="C103" s="30"/>
      <c r="D103" s="30"/>
      <c r="E103" s="29" t="s">
        <v>253</v>
      </c>
      <c r="F103" s="30"/>
      <c r="G103" s="33">
        <f>(COUNTIFS($F$4:$F$97,"FE",$G$4:$G$97,"완료")+COUNTIFS($F$4:$F$97,"FE",$G$4:$G$97,"진행중")*$G$100)/COUNTIF($F$4:$F$97,"FE")</f>
        <v>0.56521739130434778</v>
      </c>
    </row>
    <row r="104" spans="2:99" ht="18">
      <c r="B104" s="30"/>
      <c r="C104" s="30"/>
      <c r="D104" s="30"/>
      <c r="E104" s="29" t="s">
        <v>254</v>
      </c>
      <c r="F104" s="30"/>
      <c r="G104" s="33">
        <f>(COUNTIFS($F$4:$F$97,"공통",$G$4:$G$97,"완료")+COUNTIFS($F$4:$F$97,"공통",$G$4:$G$97,"진행중")*$G$100)/COUNTIF($F$4:$F$97,"공통")</f>
        <v>0.58823529411764708</v>
      </c>
    </row>
    <row r="105" spans="2:99">
      <c r="B105" s="26"/>
      <c r="C105" s="26"/>
      <c r="D105" s="26"/>
      <c r="E105" s="34"/>
      <c r="F105" s="26"/>
      <c r="G105" s="35"/>
    </row>
    <row r="106" spans="2:99" ht="18">
      <c r="B106" s="30"/>
      <c r="C106" s="30"/>
      <c r="D106" s="30"/>
      <c r="E106" s="29" t="s">
        <v>250</v>
      </c>
      <c r="F106" s="30"/>
      <c r="G106" s="31">
        <f>COUNTA($E$4:$E$97)</f>
        <v>94</v>
      </c>
    </row>
    <row r="107" spans="2:99" ht="18">
      <c r="B107" s="30"/>
      <c r="C107" s="30"/>
      <c r="D107" s="30"/>
      <c r="E107" s="29" t="s">
        <v>78</v>
      </c>
      <c r="F107" s="30"/>
      <c r="G107" s="31">
        <f>COUNTIF($G$4:$G$97,"완료")</f>
        <v>45</v>
      </c>
    </row>
    <row r="108" spans="2:99" ht="18">
      <c r="B108" s="30"/>
      <c r="C108" s="30"/>
      <c r="D108" s="30"/>
      <c r="E108" s="29" t="s">
        <v>209</v>
      </c>
      <c r="F108" s="30"/>
      <c r="G108" s="31">
        <f>COUNTIF($G$4:$G$97,"진행중")</f>
        <v>14</v>
      </c>
    </row>
    <row r="109" spans="2:99" ht="18">
      <c r="B109" s="30"/>
      <c r="C109" s="30"/>
      <c r="D109" s="30"/>
      <c r="E109" s="29" t="s">
        <v>106</v>
      </c>
      <c r="F109" s="30"/>
      <c r="G109" s="31">
        <f>COUNTIF($G$4:$G$97,"작업대기")</f>
        <v>35</v>
      </c>
    </row>
  </sheetData>
  <mergeCells count="68">
    <mergeCell ref="B99:G99"/>
    <mergeCell ref="HC1:HI1"/>
    <mergeCell ref="DI1:DO1"/>
    <mergeCell ref="B83:B86"/>
    <mergeCell ref="BS1:BY1"/>
    <mergeCell ref="D95:D97"/>
    <mergeCell ref="D35:D38"/>
    <mergeCell ref="DW1:EC1"/>
    <mergeCell ref="AC1:AI1"/>
    <mergeCell ref="GA1:GG1"/>
    <mergeCell ref="D28:D30"/>
    <mergeCell ref="B39:B60"/>
    <mergeCell ref="D45:D50"/>
    <mergeCell ref="B61:B69"/>
    <mergeCell ref="D67:D69"/>
    <mergeCell ref="B70:B82"/>
    <mergeCell ref="B92:B97"/>
    <mergeCell ref="D18:D19"/>
    <mergeCell ref="CU1:DA1"/>
    <mergeCell ref="FF1:FL1"/>
    <mergeCell ref="EY1:FE1"/>
    <mergeCell ref="O1:U1"/>
    <mergeCell ref="V1:AB1"/>
    <mergeCell ref="D14:D15"/>
    <mergeCell ref="BE1:BK1"/>
    <mergeCell ref="D70:D71"/>
    <mergeCell ref="D92:D94"/>
    <mergeCell ref="D22:D24"/>
    <mergeCell ref="D61:D63"/>
    <mergeCell ref="D72:D74"/>
    <mergeCell ref="BL1:BR1"/>
    <mergeCell ref="GV1:HB1"/>
    <mergeCell ref="D83:D85"/>
    <mergeCell ref="AX1:BD1"/>
    <mergeCell ref="H1:N1"/>
    <mergeCell ref="B14:B21"/>
    <mergeCell ref="FT1:FZ1"/>
    <mergeCell ref="GH1:GN1"/>
    <mergeCell ref="GO1:GU1"/>
    <mergeCell ref="FM1:FS1"/>
    <mergeCell ref="D25:D27"/>
    <mergeCell ref="B4:B13"/>
    <mergeCell ref="B28:B38"/>
    <mergeCell ref="B22:B27"/>
    <mergeCell ref="D31:D34"/>
    <mergeCell ref="BZ1:CF1"/>
    <mergeCell ref="AQ1:AW1"/>
    <mergeCell ref="ER1:EX1"/>
    <mergeCell ref="DB1:DH1"/>
    <mergeCell ref="D16:D17"/>
    <mergeCell ref="EK1:EQ1"/>
    <mergeCell ref="D81:D82"/>
    <mergeCell ref="D42:D44"/>
    <mergeCell ref="D51:D54"/>
    <mergeCell ref="AJ1:AP1"/>
    <mergeCell ref="D39:D41"/>
    <mergeCell ref="CN1:CT1"/>
    <mergeCell ref="DP1:DV1"/>
    <mergeCell ref="D75:D77"/>
    <mergeCell ref="B1:G1"/>
    <mergeCell ref="ED1:EJ1"/>
    <mergeCell ref="D78:D80"/>
    <mergeCell ref="D64:D66"/>
    <mergeCell ref="CG1:CM1"/>
    <mergeCell ref="D58:D60"/>
    <mergeCell ref="D55:D57"/>
    <mergeCell ref="B87:B91"/>
    <mergeCell ref="D87:D9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5"/>
  <sheetViews>
    <sheetView topLeftCell="A15" workbookViewId="0"/>
  </sheetViews>
  <sheetFormatPr baseColWidth="10" defaultColWidth="8.83203125" defaultRowHeight="17"/>
  <cols>
    <col min="1" max="1" width="3" customWidth="1"/>
    <col min="2" max="2" width="18" customWidth="1"/>
    <col min="3" max="3" width="50" customWidth="1"/>
  </cols>
  <sheetData>
    <row r="1" spans="2:3" ht="19" customHeight="1">
      <c r="B1" s="6" t="s">
        <v>199</v>
      </c>
    </row>
    <row r="3" spans="2:3">
      <c r="B3" s="7" t="s">
        <v>200</v>
      </c>
    </row>
    <row r="4" spans="2:3" ht="18" customHeight="1">
      <c r="B4" s="42" t="s">
        <v>201</v>
      </c>
      <c r="C4" s="8" t="s">
        <v>202</v>
      </c>
    </row>
    <row r="5" spans="2:3" ht="18" customHeight="1">
      <c r="B5" s="43" t="s">
        <v>203</v>
      </c>
      <c r="C5" s="8" t="s">
        <v>204</v>
      </c>
    </row>
    <row r="6" spans="2:3" ht="18" customHeight="1">
      <c r="B6" s="44" t="s">
        <v>205</v>
      </c>
      <c r="C6" s="8" t="s">
        <v>206</v>
      </c>
    </row>
    <row r="7" spans="2:3" ht="18" customHeight="1">
      <c r="C7" s="28" t="s">
        <v>246</v>
      </c>
    </row>
    <row r="9" spans="2:3">
      <c r="B9" s="7" t="s">
        <v>207</v>
      </c>
    </row>
    <row r="10" spans="2:3" ht="18" customHeight="1">
      <c r="B10" s="4" t="s">
        <v>78</v>
      </c>
      <c r="C10" s="8" t="s">
        <v>208</v>
      </c>
    </row>
    <row r="11" spans="2:3" ht="18" customHeight="1">
      <c r="B11" s="9" t="s">
        <v>209</v>
      </c>
      <c r="C11" s="8" t="s">
        <v>210</v>
      </c>
    </row>
    <row r="12" spans="2:3" ht="18" customHeight="1">
      <c r="B12" s="5" t="s">
        <v>106</v>
      </c>
      <c r="C12" s="8" t="s">
        <v>211</v>
      </c>
    </row>
    <row r="14" spans="2:3">
      <c r="B14" s="7" t="s">
        <v>212</v>
      </c>
    </row>
    <row r="15" spans="2:3" ht="36" customHeight="1">
      <c r="B15" s="10" t="s">
        <v>31</v>
      </c>
      <c r="C15" s="8" t="s">
        <v>213</v>
      </c>
    </row>
    <row r="16" spans="2:3" ht="18" customHeight="1">
      <c r="B16" s="10" t="s">
        <v>32</v>
      </c>
      <c r="C16" s="8" t="s">
        <v>214</v>
      </c>
    </row>
    <row r="17" spans="2:3" ht="18" customHeight="1">
      <c r="B17" s="10" t="s">
        <v>33</v>
      </c>
      <c r="C17" s="8" t="s">
        <v>215</v>
      </c>
    </row>
    <row r="18" spans="2:3" ht="18">
      <c r="B18" s="10">
        <v>4</v>
      </c>
      <c r="C18" s="8" t="s">
        <v>216</v>
      </c>
    </row>
    <row r="20" spans="2:3" ht="18">
      <c r="B20" s="15" t="s">
        <v>235</v>
      </c>
    </row>
    <row r="21" spans="2:3" ht="36">
      <c r="B21" s="16">
        <v>1</v>
      </c>
      <c r="C21" s="8" t="s">
        <v>236</v>
      </c>
    </row>
    <row r="22" spans="2:3" ht="36">
      <c r="B22" s="16">
        <v>2</v>
      </c>
      <c r="C22" s="8" t="s">
        <v>237</v>
      </c>
    </row>
    <row r="23" spans="2:3" ht="36">
      <c r="B23" s="16">
        <v>3</v>
      </c>
      <c r="C23" s="8" t="s">
        <v>239</v>
      </c>
    </row>
    <row r="24" spans="2:3" ht="18">
      <c r="B24" s="16">
        <v>4</v>
      </c>
      <c r="C24" s="8" t="s">
        <v>240</v>
      </c>
    </row>
    <row r="25" spans="2:3" ht="18">
      <c r="B25" s="16">
        <v>5</v>
      </c>
      <c r="C25" s="8" t="s">
        <v>238</v>
      </c>
    </row>
    <row r="26" spans="2:3" ht="18">
      <c r="B26" s="16">
        <v>6</v>
      </c>
      <c r="C26" s="8" t="s">
        <v>241</v>
      </c>
    </row>
    <row r="27" spans="2:3" ht="18">
      <c r="B27" s="16">
        <v>7</v>
      </c>
      <c r="C27" s="8" t="s">
        <v>247</v>
      </c>
    </row>
    <row r="28" spans="2:3" ht="36">
      <c r="B28">
        <v>8</v>
      </c>
      <c r="C28" s="8" t="s">
        <v>248</v>
      </c>
    </row>
    <row r="29" spans="2:3" ht="36">
      <c r="B29">
        <v>9</v>
      </c>
      <c r="C29" s="8" t="s">
        <v>265</v>
      </c>
    </row>
    <row r="30" spans="2:3" ht="18">
      <c r="B30" s="16">
        <v>10</v>
      </c>
      <c r="C30" s="8" t="s">
        <v>258</v>
      </c>
    </row>
    <row r="31" spans="2:3">
      <c r="B31" s="7" t="s">
        <v>255</v>
      </c>
    </row>
    <row r="32" spans="2:3" ht="18">
      <c r="B32" s="23">
        <v>1</v>
      </c>
      <c r="C32" s="8" t="s">
        <v>256</v>
      </c>
    </row>
    <row r="33" spans="2:3" ht="18">
      <c r="B33" s="23">
        <v>0.5</v>
      </c>
      <c r="C33" s="8" t="s">
        <v>266</v>
      </c>
    </row>
    <row r="34" spans="2:3" ht="18">
      <c r="B34" s="23">
        <v>0</v>
      </c>
      <c r="C34" s="8" t="s">
        <v>257</v>
      </c>
    </row>
    <row r="35" spans="2:3" ht="36">
      <c r="C35" s="28" t="s">
        <v>267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 v3.0</vt:lpstr>
      <vt:lpstr>WBS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최은재</cp:lastModifiedBy>
  <dcterms:created xsi:type="dcterms:W3CDTF">2026-05-11T14:23:35Z</dcterms:created>
  <dcterms:modified xsi:type="dcterms:W3CDTF">2026-09-17T13:10:16Z</dcterms:modified>
</cp:coreProperties>
</file>